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cores"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<sst xmlns="http://schemas.openxmlformats.org/spreadsheetml/2006/main" count="632" uniqueCount="331">
  <si>
    <t xml:space="preserve">Igbo Translation Model — Scoresheet Instructions</t>
  </si>
  <si>
    <t xml:space="preserve">How to use this workbook</t>
  </si>
  <si>
    <t xml:space="preserve">Go to the "Scores" tab. Each row is one test sentence with the model's Igbo translation already filled in.</t>
  </si>
  <si>
    <t xml:space="preserve">For each row, enter a score from 1–5 in the Accuracy and Fluency columns (yellow cells).</t>
  </si>
  <si>
    <t xml:space="preserve">Add any notes in the Comments column — e.g. wrong word choice, awkward phrasing, missed negation, etc.</t>
  </si>
  <si>
    <t xml:space="preserve">Scoring guide — Accuracy (does it mean the same thing as the English?)</t>
  </si>
  <si>
    <t xml:space="preserve">5 = Fully correct meaning</t>
  </si>
  <si>
    <t xml:space="preserve">4 = Correct meaning, very minor issue</t>
  </si>
  <si>
    <t xml:space="preserve">3 = Mostly correct, one clear error</t>
  </si>
  <si>
    <t xml:space="preserve">2 = Partially correct, meaning is distorted</t>
  </si>
  <si>
    <t xml:space="preserve">1 = Wrong or nonsensical</t>
  </si>
  <si>
    <t xml:space="preserve">Scoring guide — Fluency (does it read naturally in Igbo?)</t>
  </si>
  <si>
    <t xml:space="preserve">5 = Reads like a native speaker wrote it</t>
  </si>
  <si>
    <t xml:space="preserve">4 = Natural, tiny awkwardness</t>
  </si>
  <si>
    <t xml:space="preserve">3 = Understandable but stiff/literal</t>
  </si>
  <si>
    <t xml:space="preserve">2 = Grammatically broken but readable</t>
  </si>
  <si>
    <t xml:space="preserve">1 = Not readable Igbo</t>
  </si>
  <si>
    <t xml:space="preserve">Notes</t>
  </si>
  <si>
    <t xml:space="preserve">Rows highlighted in red under Status are ones where the model failed to respond (timeout) — these have no translation to score.</t>
  </si>
  <si>
    <t xml:space="preserve">The Summary tab automatically calculates averages per category and type as you enter scores.</t>
  </si>
  <si>
    <t xml:space="preserve">No.</t>
  </si>
  <si>
    <t xml:space="preserve">Category</t>
  </si>
  <si>
    <t xml:space="preserve">Type</t>
  </si>
  <si>
    <t xml:space="preserve">English Sentence</t>
  </si>
  <si>
    <t xml:space="preserve">Igbo Translation</t>
  </si>
  <si>
    <t xml:space="preserve">Status</t>
  </si>
  <si>
    <t xml:space="preserve">Accuracy (1-5)</t>
  </si>
  <si>
    <t xml:space="preserve">Fluency (1-5)</t>
  </si>
  <si>
    <t xml:space="preserve">Comments</t>
  </si>
  <si>
    <t xml:space="preserve">Greeting</t>
  </si>
  <si>
    <t xml:space="preserve">Question</t>
  </si>
  <si>
    <t xml:space="preserve">Good morning, how are you today?</t>
  </si>
  <si>
    <t xml:space="preserve">[FAILED: HTTPConnectionPool(host='localhost', port=5002): Read timed out. (read timeout=120)]</t>
  </si>
  <si>
    <t xml:space="preserve">FAILED</t>
  </si>
  <si>
    <t xml:space="preserve">What is your name?</t>
  </si>
  <si>
    <t xml:space="preserve">Negation</t>
  </si>
  <si>
    <t xml:space="preserve">Do you understand what I am saying?</t>
  </si>
  <si>
    <t xml:space="preserve">Ị̀ ghọtara ihe m na-ekwu?</t>
  </si>
  <si>
    <t xml:space="preserve">OK</t>
  </si>
  <si>
    <t xml:space="preserve">Request</t>
  </si>
  <si>
    <t xml:space="preserve">Can you please close the door?</t>
  </si>
  <si>
    <t xml:space="preserve">Biko, ị̀ pụrụ imechi ụzọ ahụ?</t>
  </si>
  <si>
    <t xml:space="preserve">Where is the nearest hospital?</t>
  </si>
  <si>
    <t xml:space="preserve">Olee ụlọ ọgwụ kacha nso?</t>
  </si>
  <si>
    <t xml:space="preserve">Shopping</t>
  </si>
  <si>
    <t xml:space="preserve">How much does this bag cost?</t>
  </si>
  <si>
    <t xml:space="preserve">Ego ole ka akpa a na-efu?</t>
  </si>
  <si>
    <t xml:space="preserve">Weather</t>
  </si>
  <si>
    <t xml:space="preserve">Is it raining outside?</t>
  </si>
  <si>
    <t xml:space="preserve">Mmiri ọ̀ na-ezo n'èzí?</t>
  </si>
  <si>
    <t xml:space="preserve">Location</t>
  </si>
  <si>
    <t xml:space="preserve">Where is the bathroom?</t>
  </si>
  <si>
    <t xml:space="preserve">Ebee ka ụlọ ịsa ahụ dị?</t>
  </si>
  <si>
    <t xml:space="preserve">Time</t>
  </si>
  <si>
    <t xml:space="preserve">What time is it currently?</t>
  </si>
  <si>
    <t xml:space="preserve">Oge ole ka ọ bụ ugbu a?</t>
  </si>
  <si>
    <t xml:space="preserve">Language</t>
  </si>
  <si>
    <t xml:space="preserve">Do you speak English fluently?</t>
  </si>
  <si>
    <t xml:space="preserve">Ị̀ na-asụ Bekee nke ọma?</t>
  </si>
  <si>
    <t xml:space="preserve">Culture</t>
  </si>
  <si>
    <t xml:space="preserve">Why should we respect our elders in the community?</t>
  </si>
  <si>
    <t xml:space="preserve">Gịnị mere anyị ji kwesị ịna-akwanyere ndị okenye ùgwù?</t>
  </si>
  <si>
    <t xml:space="preserve">Formal/Complex</t>
  </si>
  <si>
    <t xml:space="preserve">Can you explain why, despite the government's promise to build more schools, many rural communities still lack access to quality education?</t>
  </si>
  <si>
    <t xml:space="preserve">Ị̀ pụrụ ịkọwa ihe mere, n'agbanyeghị nkwa gọọmenti kwere iwulite ụlọ akwụkwọ ndị ọzọ, ọtụtụ obodo ndị dị n'ime ime obodo ka na-enweghị ohere inweta agụmakwụkwọ dị mma?</t>
  </si>
  <si>
    <t xml:space="preserve">Conditional/Complex</t>
  </si>
  <si>
    <t xml:space="preserve">What would have happened to the farmers' harvest if they had received better roads and storage facilities earlier?</t>
  </si>
  <si>
    <t xml:space="preserve">Gịnị gaara eme ihe ubi ndị ọrụ ugbo ahụ ma a sị na e nyere ha ụzọ na ebe ndị ka mma ha ga-edebe ihe n'oge gara aga?</t>
  </si>
  <si>
    <t xml:space="preserve">Relative Clause/Complex</t>
  </si>
  <si>
    <t xml:space="preserve">Do you know how the woman whose shop was destroyed in the flood managed to reopen her business?</t>
  </si>
  <si>
    <t xml:space="preserve">Ị̀ ma otú nwaanyị ahụ e bibiri ụlọ ahịa ya n'oge iju mmiri ahụ si meghee ụlọ ọrụ ya?</t>
  </si>
  <si>
    <t xml:space="preserve">Concession/Complex</t>
  </si>
  <si>
    <t xml:space="preserve">How did your grandmother manage to raise seven children who all went on to attend university, despite having very little formal education?</t>
  </si>
  <si>
    <t xml:space="preserve">Olee otú nne gị ochie si zụlite ụmụ asaa bụ́ ndị niile gara mahadum n'agbanyeghị na ha enweghị ezigbo agụmakwụkwọ?</t>
  </si>
  <si>
    <t xml:space="preserve">Instruction/Complex</t>
  </si>
  <si>
    <t xml:space="preserve">Before you sign the contract, have you made sure that you understand every clause and your obligations?</t>
  </si>
  <si>
    <t xml:space="preserve">Tupu ị bịanye aka n'akwụkwọ nkwekọrịta ahụ, ị̀ hụla na ị ghọtara ihe ọ bụla e kwuru na ya nakwa ihe ndị i kwesịrị ime?</t>
  </si>
  <si>
    <t xml:space="preserve">Passive/Complex</t>
  </si>
  <si>
    <t xml:space="preserve">Do you know when the committee is expected to announce whether the new policy will be implemented nationwide?</t>
  </si>
  <si>
    <t xml:space="preserve">Ị̀ ma mgbe a ga-atụ anya na kọmitii ahụ ga-ekwupụta ma a ga-emejuputa atumatu ọhụrụ ahụ n'ofe mba ahụ?</t>
  </si>
  <si>
    <t xml:space="preserve">Correlative/Complex</t>
  </si>
  <si>
    <t xml:space="preserve">Is it true that she not only passed her final examinations with distinction, but was also offered a scholarship to study abroad?</t>
  </si>
  <si>
    <t xml:space="preserve">Ọ̀ bụ eziokwu na ọ bụghị nanị na o mere ule ikpeazụ ya n'ụzọ dị iche, kamakwa e nyere ya agụmakwụkwọ iji gaa mụọ ihe ná mba ọzọ?</t>
  </si>
  <si>
    <t xml:space="preserve">What route would you have taken if you had known about the road closure in advance?</t>
  </si>
  <si>
    <t xml:space="preserve">Olee ụzọ ị gaara esi ma a sị na ị ma na a ga-emechi okporo ụzọ ahụ tupu oge eruo?</t>
  </si>
  <si>
    <t xml:space="preserve">Reported/Complex</t>
  </si>
  <si>
    <t xml:space="preserve">According to the report, what measures should be taken to prevent climate change from affecting agricultural output in the region?</t>
  </si>
  <si>
    <t xml:space="preserve">Dị ka akụkọ ahụ si kwuo, olee ihe ndị a ga-eme iji gbochie mgbanwe ihu igwe imetụta mmepụta ọrụ ugbo n'ógbè ahụ?</t>
  </si>
  <si>
    <t xml:space="preserve">Complex/Compound</t>
  </si>
  <si>
    <t xml:space="preserve">Can you tell me who is responsible for maintaining the water pump, and how often it should be inspected?</t>
  </si>
  <si>
    <t xml:space="preserve">Ị̀ pụrụ ịgwa m onye na-ahụ maka idebe mmiri mgbapụta ahụ, na ugboro ole a ga-enyocha ya?</t>
  </si>
  <si>
    <t xml:space="preserve">Clarification</t>
  </si>
  <si>
    <t xml:space="preserve">Could you please clarify whether the scheduled maintenance will affect our local database access during business hours?</t>
  </si>
  <si>
    <t xml:space="preserve">Biko ị pụrụ ịkọwa ma mmezi a na-eme atụmatụ ga-emetụta ohere nnweta nchekwa data anyị n'oge awa ọrụ?</t>
  </si>
  <si>
    <t xml:space="preserve">Management</t>
  </si>
  <si>
    <t xml:space="preserve">How did the project team manage to deliver the system upgrade on time, considering the sudden reduction in budget?</t>
  </si>
  <si>
    <t xml:space="preserve">Olee otú ndị ọrụ ọrụ ahụ si nwee ike inyefe mmelite usoro ahụ n'oge, ebe ọ bụ na e belatala mmefu ego ahụ n'egbughị oge?</t>
  </si>
  <si>
    <t xml:space="preserve">Economics</t>
  </si>
  <si>
    <t xml:space="preserve">Given the high rate of inflation this year, do you think consumer purchasing behavior will shift toward local goods?</t>
  </si>
  <si>
    <t xml:space="preserve">N'ihi ọnụego inflation dị elu n'afọ a, ị̀ na-eche na omume ịzụ ahịa ndị na-azụ ahịa ga-agbanwe n'ebe ihe ndị dị n'ógbè ahụ dị?</t>
  </si>
  <si>
    <t xml:space="preserve">Technical Request</t>
  </si>
  <si>
    <t xml:space="preserve">Could you recommend a reliable method to back up our transaction records without interrupting daily administrative workflows?</t>
  </si>
  <si>
    <t xml:space="preserve">Ì nwere ike ikwu ụzọ a pụrụ ịdabere na ya iji kwado ndekọ azụmahịa anyị n'emeghị ka usoro ọrụ nchịkwa kwa ụbọchị kwụsị?</t>
  </si>
  <si>
    <t xml:space="preserve">Regulation</t>
  </si>
  <si>
    <t xml:space="preserve">What specific steps must a small business take to comply with the new data privacy regulations enforced last month?</t>
  </si>
  <si>
    <t xml:space="preserve">Olee ihe ndị kpọmkwem a ga-eme ka obere ụlọ ọrụ nwee ike irube isi n'iwu nzuzo ọhụrụ e mere n'ọnwa gara aga?</t>
  </si>
  <si>
    <t xml:space="preserve">Logistics</t>
  </si>
  <si>
    <t xml:space="preserve">Since the transport union announced a strike for tomorrow morning, what alternative arrangements have you made for commuting?</t>
  </si>
  <si>
    <t xml:space="preserve">Ebe ọ bụ na òtù njem ahụ kwupụtara mkpesa maka ụtụtụ echi, olee ndokwa ndị ọzọ i mere maka njem?</t>
  </si>
  <si>
    <t xml:space="preserve">Technical Support</t>
  </si>
  <si>
    <t xml:space="preserve">Did the system administrators explain why the security patch, which was supposed to prevent unauthorized access, caused a temporary network outage?</t>
  </si>
  <si>
    <t xml:space="preserve">Ndị nchịkwa usoro ahụ hà kọwara ihe mere nkwụnye nche ahụ, nke a na-atụ anya na ọ ga-egbochi ohere a na-anaghị enye ikike, ji kpatara nkwụsịtụ netwọk nwa oge?</t>
  </si>
  <si>
    <t xml:space="preserve">Finance</t>
  </si>
  <si>
    <t xml:space="preserve">If the regional office fails to submit the quarterly audit report by Friday, what are the immediate financial penalties?</t>
  </si>
  <si>
    <t xml:space="preserve">Ọ bụrụ na ọ bụghị ụlọ ọrụ mpaghara ahụ ga-ewepụta akụkọ nyocha nke ọ bụla n'ime nkeji iri na ise tupu Fraịde, olee ntaramahụhụ ego a ga-enye ozugbo?</t>
  </si>
  <si>
    <t xml:space="preserve">Healthcare</t>
  </si>
  <si>
    <t xml:space="preserve">Can you describe the process by which the community health center plans to distribute the newly arrived medical supplies?</t>
  </si>
  <si>
    <t xml:space="preserve">Ì nwere ike ịkọwa usoro nke ebe ahụ́ ike obodo ahụ na-eme atụmatụ ikesa ihe ndị ahụ e ji agwọ ọrịa bịara ọhụrụ?</t>
  </si>
  <si>
    <t xml:space="preserve">Education</t>
  </si>
  <si>
    <t xml:space="preserve">Would you mind explaining how the scholarship committee evaluates applications from candidates with non-traditional academic backgrounds?</t>
  </si>
  <si>
    <t xml:space="preserve">Ì nwere ike ịkọwa otú kọmitii agụmakwụkwọ si atụle arịrịọ ndị a na-enye ndị nwere agụmakwụkwọ na-abụghị nke ọdịnala?</t>
  </si>
  <si>
    <t xml:space="preserve">Environment</t>
  </si>
  <si>
    <t xml:space="preserve">To what extent can local community initiatives reduce plastic waste without relying on municipal government funding?</t>
  </si>
  <si>
    <t xml:space="preserve">Ruo ókè ha aṅaa ka ihe ndị obodo obodo na-eme pụrụ ibelata ihe mkpofu plastik n'adabereghị n'ego gọọmenti obodo na-enye?</t>
  </si>
  <si>
    <t xml:space="preserve">Employment</t>
  </si>
  <si>
    <t xml:space="preserve">What criteria does the human resources department use to determine salary increments for remote technical support staff?</t>
  </si>
  <si>
    <t xml:space="preserve">Olee ihe ndị ngalaba ndị ọrụ mmadụ na-eji ekpebi ụgwọ ọnwa ndị ọrụ nkwado teknụzụ dịpụrụ adịpụ na-akwụ?</t>
  </si>
  <si>
    <t xml:space="preserve">Legal</t>
  </si>
  <si>
    <t xml:space="preserve">Has the legal department reviewed the intellectual property clauses in our partnership agreements to ensure our rights are protected?</t>
  </si>
  <si>
    <t xml:space="preserve">Ngalaba iwu ahụ ọ̀ tụlere ụkpụrụ nke ikike ọgụgụ isi dị n'akwụkwọ anyị ji emekọrịta ihe iji hụ na a na-echebe ikike anyị?</t>
  </si>
  <si>
    <t xml:space="preserve">Infrastructure</t>
  </si>
  <si>
    <t xml:space="preserve">How long will it take to complete the repairs on the main bridge, and what impact will the delay have on interstate trade?</t>
  </si>
  <si>
    <t xml:space="preserve">Ogologo oge ole ka ọ ga-ewe iji rụchaa nrụzi ahụ n'elu isi akwa ahụ, mmetụta dịkwa aṅaa ka igbu oge ahụ ga-enwe n'ahịa azụmahịa dị n'etiti steeti?</t>
  </si>
  <si>
    <t xml:space="preserve">Sociology</t>
  </si>
  <si>
    <t xml:space="preserve">Can you identify the primary factors that contribute to the migration of young professionals from rural areas to major urban centers?</t>
  </si>
  <si>
    <t xml:space="preserve">Ị̀ pụrụ ịmata ihe ndị bụ́ isi na-akpata ịkwaga nke ndị ọkachamara na-eto eto site n'ime ime obodo gaa n'ebe ndị bú isi n'obodo ukwu?</t>
  </si>
  <si>
    <t xml:space="preserve">Communication</t>
  </si>
  <si>
    <t xml:space="preserve">Under what circumstances should an employee escalate a customer complaint directly to the operations director?</t>
  </si>
  <si>
    <t xml:space="preserve">N'ọnọdụ ndị dị aṅaa ka onye ọrụ kwesịrị ịtọrọ mkpesa ndị ahịa ozugbo nye onye nduzi ọrụ?</t>
  </si>
  <si>
    <t xml:space="preserve">What measures have been put in place to ensure that the microfinance loans are distributed fairly among the female cooperative members?</t>
  </si>
  <si>
    <t xml:space="preserve">Olee ihe ndị e mere iji hụ na e kewara ụmụ nwanyị so na kọọ́pọ́tị ahụ ego ole ha ji enweta ego ole ha ji enweta ego ole ha ji enweta ego ole ha ji enweta ego ole ha ji enweta ego ole ha ji enweta ego ole ha ji enweta ego ole ha ji enweta ego ole ha ji enweta ego ole ha ji enweta ego ole ha ji enweta ego ole ha ji enweta ego ole ha ji enweta ego ole ha ji enweta ego ole ha ji enweta ego ole ha ji enweta ego ole ha ji enweta ego ole ha ji enweta ego ole ha ji enweta ego ole ha ji enweta ego ole ha ji na ole na ole na-enye ndị ha ego ha n'ereghị ihe ọjọọ?</t>
  </si>
  <si>
    <t xml:space="preserve">History</t>
  </si>
  <si>
    <t xml:space="preserve">Could you provide a detailed summary of how the local architecture has evolved since the pre-colonial era?</t>
  </si>
  <si>
    <t xml:space="preserve">Ì nwere ike ịkọwa otú ihe ndị e ji wuo ụlọ ndị dị n'ebe ahụ si malite n'oge ndị ọchịchị na-achịbeghị mba ahụ?</t>
  </si>
  <si>
    <t xml:space="preserve">Safety</t>
  </si>
  <si>
    <t xml:space="preserve">Are there any specific protocols we must follow in the event of an emergency evacuation during working hours?</t>
  </si>
  <si>
    <t xml:space="preserve">È nwere usoro ndị anyị ga-agbaso ma ọ bụrụ na e nwee ihe mberede a na-eme n'oge ọrụ?</t>
  </si>
  <si>
    <t xml:space="preserve">Technology</t>
  </si>
  <si>
    <t xml:space="preserve">How does the backend server handle concurrent API requests during peak traffic periods without crashing?</t>
  </si>
  <si>
    <t xml:space="preserve">Kedu ka sava backend si emeso arịrịọ API na-aga n'ihu n'oge oge okporo ụzọ kachasị elu n'enweghị nkwụsị?</t>
  </si>
  <si>
    <t xml:space="preserve">What is the estimated delivery time for the spare parts ordered from the overseas manufacturer?</t>
  </si>
  <si>
    <t xml:space="preserve">Kedu oge nnyefe a tụrụ anya maka akụkụ ahụike ndị a na-enye iwu site n'aka onye nrụpụta mba ofesi?</t>
  </si>
  <si>
    <t xml:space="preserve">Civics</t>
  </si>
  <si>
    <t xml:space="preserve">How can ordinary citizens actively participate in local government budget planning sessions?</t>
  </si>
  <si>
    <t xml:space="preserve">Olee otú ndị nkịtị pụrụ isi soro na-ekere òkè n'ihe omume mmefu ego nke ọchịchị obodo?</t>
  </si>
  <si>
    <t xml:space="preserve">Agriculture</t>
  </si>
  <si>
    <t xml:space="preserve">What are the most effective methods for preserving organic crops during the prolonged rainy season?</t>
  </si>
  <si>
    <t xml:space="preserve">Olee ụzọ ndị kasị dị irè isi chebe ihe ọkụkụ ndị a na-emepụta ihe na ha n'oge mmiri ozuzo na-adịte aka?</t>
  </si>
  <si>
    <t xml:space="preserve">Customer Service</t>
  </si>
  <si>
    <t xml:space="preserve">Could you explain why my account was temporarily suspended despite having paid my subscription fee on time?</t>
  </si>
  <si>
    <t xml:space="preserve">Ì nwere ike ịkọwa ihe mere e ji kwụsịtụ ọrụ m n'agbanyeghị na akwụọla m ụgwọ m ji na-akwụ ụgwọ ahụ n'oge?</t>
  </si>
  <si>
    <t xml:space="preserve">Administration</t>
  </si>
  <si>
    <t xml:space="preserve">Who should I contact to request an extension on the submission deadline for the research proposal?</t>
  </si>
  <si>
    <t xml:space="preserve">Ònye ka m ga-akpọtụrụ ka m rịọ ka e gbatịkwuo oge a kara aka maka ntinye akwụkwọ maka atụmatụ nyocha ahụ?</t>
  </si>
  <si>
    <t xml:space="preserve">Event Planning</t>
  </si>
  <si>
    <t xml:space="preserve">Have you finalized the list of keynote speakers for the upcoming international technology conference?</t>
  </si>
  <si>
    <t xml:space="preserve">Ị̀ gụchaala ndepụta ndị ọkà okwu bụ́ isi maka nzukọ nkà na ụzụ mba ụwa na-abịanụ?</t>
  </si>
  <si>
    <t xml:space="preserve">Tourism</t>
  </si>
  <si>
    <t xml:space="preserve">What are the key cultural landmarks that a first-time visitor to Lagos should not miss?</t>
  </si>
  <si>
    <t xml:space="preserve">Olee ihe ndị bụ́ isi e ji mara ọdịbendị nke onye bịara Legọs nke mbụ ya na-ekwesịghị ịhapụ?</t>
  </si>
  <si>
    <t xml:space="preserve">Marketing</t>
  </si>
  <si>
    <t xml:space="preserve">How do you measure the return on investment for social media advertising campaigns targeting younger demographics?</t>
  </si>
  <si>
    <t xml:space="preserve">Olee otú i si atụle nloghachi nke ego maka mgbasa ozi mgbasa ozi mgbasa ozi na-ezubere iche maka ndị na-eto eto?</t>
  </si>
  <si>
    <t xml:space="preserve">Health</t>
  </si>
  <si>
    <t xml:space="preserve">What dietary recommendations would you suggest for individuals recovering from chronic cardiovascular conditions?</t>
  </si>
  <si>
    <t xml:space="preserve">Olee aro ndị ị ga-atụ aro ka ndị ọrịa obi na-anaghị ala ala ṅụọ?</t>
  </si>
  <si>
    <t xml:space="preserve">Macroeconomics/Tech</t>
  </si>
  <si>
    <t xml:space="preserve">How does the intersection of macroeconomic volatility and rapid digital transformation influence the long-term sustainability of emerging-market fintech startups, especially when local regulatory frameworks remain highly unpredictable and capital flight is rising?</t>
  </si>
  <si>
    <t xml:space="preserve">Olee otú njikọ nke volatility macroeconomic na mgbanwe dijitalụ ngwa ngwa si emetụta ogologo oge nke mmalite fintech na-eto eto, karịsịa mgbe usoro iwu mpaghara ka na-enweghị atụ na mgbapụ isi ego na-abawanye?</t>
  </si>
  <si>
    <t xml:space="preserve">Urban Planning/Ecology</t>
  </si>
  <si>
    <t xml:space="preserve">To what extent can municipal governments balance the urgent demand for affordable urban housing with the ecological necessity of preserving greenbelts, without triggering severe gentrification in surrounding neighborhoods or alienating local developers?</t>
  </si>
  <si>
    <t xml:space="preserve">Ruo ókè ha aṅaa ka ọchịchị obodo pụrụ ime ka ọchịchọ dị ngwa maka ụlọ ndị dị oké ọnụ ahịa n'obodo ukwu kwekọọ na mkpa ecological nke ichebe eriri okike, n'emeghị ka ndị agbata obi nọ n'akụkụ ya na-eme ka ndị na-ewu ụlọ bi n'ebe ahụ ghara inwe nsogbu?</t>
  </si>
  <si>
    <t xml:space="preserve">Distributed Systems</t>
  </si>
  <si>
    <t xml:space="preserve">Under what specific structural conditions does a distributed ledger system achieve Byzantine fault tolerance, and what are the security trade-offs involved when scaling to millions of concurrent global transactions under high-latency network conditions?</t>
  </si>
  <si>
    <t xml:space="preserve">N'okpuru ọnọdụ ndị dị aṅaa pụrụ iche nke usoro ndekọ ndekọ nke a na-ekesa na-enweta nnagide njehie Byzantine, gịnịkwa bụ mgbanwe nche nke gụnyere mgbe ị na-agbanwe ọtụtụ nde azụmahịa zuru ụwa ọnụ n'otu oge n'okpuru ọnọdụ netwọk dị elu?</t>
  </si>
  <si>
    <t xml:space="preserve">Ethics/Algorithmic AI</t>
  </si>
  <si>
    <t xml:space="preserve">How do modern algorithmic recommendation engines exploit cognitive biases to maximize platform engagement, and what ethical responsibilities should developers bear when these systems inadvertently polarize political discourse and fuel offline conflict?</t>
  </si>
  <si>
    <t xml:space="preserve">Olee otú engines algorithmic recommendation engine nke oge a si eji ihe ndị a na-ahụ anya eme ihe iji mee ka mmekọrịta dị elu nke ikpo okwu dịkwuo elu, na ọrụ ndị dị aṅaa ka ndị mmepe kwesịrị ibu mgbe usoro ndị a na-enweghị ụma na-eme ka okwu ndọrọ ndọrọ ọchịchị dị iche iche na-eme ka esemokwu na-adịghị n'ịntanetị?</t>
  </si>
  <si>
    <t xml:space="preserve">Monetary Policy</t>
  </si>
  <si>
    <t xml:space="preserve">Should the central bank decide to aggressively raise interest rates to curb inflation, what complex socio-economic repercussions will this decision have on low-income mortgage holders in developing urban centers, and how might it stifle local manufacturing credit?</t>
  </si>
  <si>
    <t xml:space="preserve">Ọ bụrụ na ụlọ akụ etiti ekpebie ịba ụba ọnụego ọmụrụ nwa iji gbochie mmụba, olee mmetụta socioeconomic dị mgbagwoju anya mkpebi a ga-enwe n'ebe ndị nwere ego mgbazinye ego na-abaghị uru nọ n'obodo ndị na-emepe emepe, oleekwa otú ọ ga-esi gbochie kredit ụlọ ọrụ mmepụta ihe mpaghara?</t>
  </si>
  <si>
    <t xml:space="preserve">Agri-tech/Climate</t>
  </si>
  <si>
    <t xml:space="preserve">How can traditional agricultural cooperatives leverage machine learning and localized weather telemetry to mitigate the systemic risks associated with unpredictable climate patterns, while simultaneously keeping operational costs manageable for smallholder farmers?</t>
  </si>
  <si>
    <t xml:space="preserve">Olee otú ụlọ ọrụ ndị na-akọ ugbo ọdịnala pụrụ isi jiri igwe mmụta na telemetry ihu igwe dị n'ógbè mee ihe iji belata ihe ize ndụ ndị metụtara usoro iheomume nke metụtara ọnọdụ ihu igwe a na-apụghị ịkọwapụta atụmanya, ma n'otu oge ahụ na-eme ka ụgwọ ọrụ ndị ọrụ na-arụ ọrụ na-achịkwa maka ndị ọrụ ugbo obere?</t>
  </si>
  <si>
    <t xml:space="preserve">Economic History</t>
  </si>
  <si>
    <t xml:space="preserve">In analyzing the historical transition from agrarian societies to industrialized economies, how did institutional property rights structures either accelerate or inhibit the accumulation of intellectual capital, and how did this vary across continents?</t>
  </si>
  <si>
    <t xml:space="preserve">N'ịtụle mgbanwe akụkọ ihe mere eme site na ọha mmadụ na-elekọta ubi gaa na akụnụba ndị mepere emepe, olee otú ụlọ ọrụ ikike ikike ụlọ ọrụ si mee ka nkwakọba ihe nke isi obodo ọgụgụ isi dịkwuo ngwa ma ọ bụ gbochie ya, oleekwa otú nke a si dịgasị iche n'otu kọntinent?</t>
  </si>
  <si>
    <t xml:space="preserve">Environmental Law</t>
  </si>
  <si>
    <t xml:space="preserve">If the proposed cross-border environmental treaty is ratified next month, what legal mechanisms will be utilized to resolve sovereignty disputes arising from shared waterway pollution in industrial corridors, and who will enforce the financial penalties?</t>
  </si>
  <si>
    <t xml:space="preserve">Ọ bụrụ na a kwadoro ọgbụgba ndụ gburugburu ebe obibi a na-emepe emepe n'ọnwa na-abịanụ, olee usoro iwu ndị a ga-eji dozie esemokwu gbasara ọchịchị nke sitere na mmetọ nke ụzọ mmiri na-eketa òkè na ụzọ ndị dị n'akụkụ ụlọ ọrụ mmepụta ihe, ònyekwa ga-emezu ntaramahụhụ ego ahụ?</t>
  </si>
  <si>
    <t xml:space="preserve">Cognitive Science</t>
  </si>
  <si>
    <t xml:space="preserve">How do the physiological mechanisms of neural plasticity explain the cognitive variations observed in adult bilingual learners compared to individuals who acquire a second language in early childhood, and what role does immersion play?</t>
  </si>
  <si>
    <t xml:space="preserve">Olee otú usoro physiological nke plasticity neuronal si kọwaa mgbanwe ndị a na-ahụ n'ahụ́ ndị na-amụ asụsụ abụọ n'oge ha torola eto ma e jiri ya tụnyere ndị na-amụ asụsụ nke abụọ n'oge ha bụ ụmụaka, ọrụ dịkwa aṅaa ka imeresi onwe ha ala na-arụ?</t>
  </si>
  <si>
    <t xml:space="preserve">Supply Chain Dynamics</t>
  </si>
  <si>
    <t xml:space="preserve">Given that geopolitical tensions frequently disrupt global supply chains, what predictive models are most effective at anticipating localized logistics bottlenecks before they impact consumer prices, and how can businesses build domestic redundancy?</t>
  </si>
  <si>
    <t xml:space="preserve">N'iburu n'uche na esemokwu geopolitical na-agbasawanye ígwè ọkọnọ zuru ụwa ọnụ, ụdị amụma ndị dị aṅaa dị irè karị maka ịkọ ọdịiche logistic dị iche iche tupu ha emetụta ọnụahịa ndị ahịa, oleekwa otú ụlọ ọrụ nwere ike isi wulite redundancy n'ime obodo?</t>
  </si>
  <si>
    <t xml:space="preserve">System Architecture</t>
  </si>
  <si>
    <t xml:space="preserve">Unless the technical architecture is completely decoupled into decentralized microservices, how can the development team ensure that future spikes in user registration do not lead to catastrophic system-wide database lockouts, and what caching mechanisms should be prioritized?</t>
  </si>
  <si>
    <t xml:space="preserve">Ọ gwụla ma a na-ekewapụ ụkpụrụ ụlọ ọrụ ahụ kpamkpam n'ime microservices ndị a na-ekewaghị ekewa, olee otu ndị mmepe ga-esi hụ na ịrị elu n'ọdịnihu na ndebanye aha onye ọrụ anaghị eduga na mkpọchi nchekwa data sistemụ zuru oke, na usoro nchekwa data dị aṅaa ka a ga-ebute ụzọ?</t>
  </si>
  <si>
    <t xml:space="preserve">Corporate Crisis Management</t>
  </si>
  <si>
    <t xml:space="preserve">In the event of an unprecedented security breach, how should a multi-national corporation coordinate its legal, PR, and technical response teams to comply with contrasting international data protection mandates within a tight 72-hour window?</t>
  </si>
  <si>
    <t xml:space="preserve">N'ihe banyere mmebi nche a na-enwetụbeghị ụdị ya, olee otú ụlọ ọrụ mba dị iche iche kwesịrị isi jikọta ndị ọrụ iwu, PR, na ndị ọrụ aka ha iji mezuo iwu nchedo data mba ụwa dị iche iche n'ime windo 72 dị mkpụmkpụ?</t>
  </si>
  <si>
    <t xml:space="preserve">Philosophy of Technology</t>
  </si>
  <si>
    <t xml:space="preserve">How does the philosophical debate between technological determinism and social constructivism apply to the current rapid adoption of generative artificial intelligence models across creative and academic industries, and what are the pedagogical implications?</t>
  </si>
  <si>
    <t xml:space="preserve">Olee otú arụmụka nkà ihe ọmụma dị n'etiti nkà na ụzụ determinism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 na-arụpụta ihe</t>
  </si>
  <si>
    <t xml:space="preserve">Sovereign Debt</t>
  </si>
  <si>
    <t xml:space="preserve">Under what circumstances can a sovereign nation restructure its external debt obligations without triggering a severe credit rating downgrade that would effectively lock it out of international capital markets for the subsequent decade?</t>
  </si>
  <si>
    <t xml:space="preserve">N'ọnọdụ ndị dị aṅaa ka mba nwere ikike pụrụ ịhazizi ụgwọ ọ na-akwụ n'ụgwọ mba ọzọ n'emeghị ka e belata ọkwa e ji akwụmụgwọ rụọ ọrụ nke ga-eme ka ọ ghara ịnọ n'ahịa isi obodo mba ụwa ruo afọ iri sochirinụ?</t>
  </si>
  <si>
    <t xml:space="preserve">ESG Governance</t>
  </si>
  <si>
    <t xml:space="preserve">To what degree do current corporate environmental, social, and governance metrics accurately reflect actual ecological impact, or do they primarily serve as sophisticated marketing frameworks to appeal to institutional investors seeking greenwashed portfolios?</t>
  </si>
  <si>
    <t xml:space="preserve">Ruo ókè ha aṅaa ka usoro iheomume gburugburu ebe obibi, mmekọrịta mmadụ na ibe ya, na usoro ọchịchị nke ụlọ ọrụ dị ugbu a na-egosipụta n'ụzọ ziri ezi mmetụta ihu igwe nke ọma, ma ọ bụ na ha na-eje ozi dị ka usoro ahịa dị mgbagwoju anya iji dọta ndị na-etinye ego na ụlọ ọrụ na-achọ pọtụfoliyo ndị a na-edozi?</t>
  </si>
  <si>
    <t xml:space="preserve">Public Health/Logistics</t>
  </si>
  <si>
    <t xml:space="preserve">How can local health authorities design and implement a vaccination distribution strategy that simultaneously overcomes deep-seated cultural skepticism, geographical isolation, and complex cold-chain logistics requirements in remote riverine communities?</t>
  </si>
  <si>
    <t xml:space="preserve">Olee otú ndị ọchịchị ahụike obodo pụrụ isi chepụta ma tinye usoro nkesa nkesa ọgwụ mgbochi ọgwụ mgbochi ahụ n'ọrụ nke na-emeri n'otu oge ahụ nkwenye nke ọdịbendị miri emi, ichebe ọdịdị ala, na ihe ndị dị mgbagwoju anya nke logistics nke oyi na-ekpo ọkụ na obodo ndị dịpụrụ adịpụ n'akụkụ osimiri?</t>
  </si>
  <si>
    <t xml:space="preserve">Urban Transit Policy</t>
  </si>
  <si>
    <t xml:space="preserve">The regional transport authority recently proposed a comprehensive transit overhaul. Given that the budget is strictly capped and community opposition to property acquisitions is rising, how can planners optimize the proposed rail route to maximize daily commuter capacity while minimizing displacement of historical neighborhoods? Furthermore, what mechanisms will be put in place to ensure ongoing public consultations do not indefinitely delay the commencement of construction?</t>
  </si>
  <si>
    <t xml:space="preserve">N'iburu n'uche na mmefu ego ahụ nwere oke oke na mmegide obodo megide nnweta ihe onwunwe na-abawanye, olee otu ndị na-eme atụmatụ nwere ike isi melite ụzọ ụgbọ oloko a chọrọ iji mee ka ikike njem kwa ụbọchị dịkwuo elu ma belata mwepụ nke mpaghara ndị mere eme? Ọzọkwa, olee usoro ndị a ga-etinye n'ọrụ iji hụ na nyocha ọha na eze na-aga n'ihu anaghị egbu oge ịmalite ọrụ iwulite ruo mgbe ebighi ebi?</t>
  </si>
  <si>
    <t xml:space="preserve">Network Engineering</t>
  </si>
  <si>
    <t xml:space="preserve">The unexpected collapse of the primary subsea fiber-optic cable yesterday has severely disrupted digital banking networks across West Africa. As financial institutions scramble to activate backup satellite links, what criteria should IT directors use to prioritize critical transactional traffic over non-essential corporate communications? Additionally, how can backend engineers guarantee database consistency for millions of interrupted real-time payments when synchronization latency has increased from milliseconds to several seconds?</t>
  </si>
  <si>
    <t xml:space="preserve">N'oge na-adịghị anya ọdịda nke eriri fiber optic isi n'okpuru mmiri ụnyaahụ emebiwo netwọkụ ụlọ akụ dijitalụ na West Africa. Ka ụlọ ọrụ ego na-agbasi mbọ ike ime ka njikọ njikọ satellite dị iche iche rụọ ọrụ, olee usoro ndị isi IT kwesịrị iji nye ndị isi ọrụ ọrụ ọrụ iwulite okporo ụzọ azụmahịa dị mkpa karịa nkwukọrịta ụlọ ọrụ na-adịghị mkpa? Na mgbakwunye, olee otu ndị injinia backend nwere ike isi hụ na nkwekọ nchekwa data maka ọtụtụ nde nkwụsịtụ oge nkwụghachi ụgwọ mgbe oge nkwekọrịta mụbara site na milliseconds gaa na ọtụtụ sekọnd?</t>
  </si>
  <si>
    <t xml:space="preserve">Public-Private Partnerships</t>
  </si>
  <si>
    <t xml:space="preserve">A major public-private partnership was established last year to revitalize municipal waste management systems in rapidly growing urban centers. However, a sharp decline in municipal tax revenue, combined with a sudden surge in the market price of imported recycling machinery, has threatened the financial viability of the entire initiative. In light of these compounding crises, how should the steering committee renegotiate the concession agreement to protect private investor returns without shifting an unfair financial burden onto low-income residents through increased utility tariffs? What long-term contingency funds should be legally mandated to prevent future structural insolvencies of this nature?</t>
  </si>
  <si>
    <t xml:space="preserve">E guzobere nnukwu mmekọrịta ọha na eze na nkeonwe n'afọ gara aga iji mee ka usoro nchịkwa nke ihe mkpofu obodo dị na ebe ndị mepere emepe na-eto ngwa ngwa. Otú ọ dị, mbelata dị ukwuu nke ego ụtụ isi obodo, jikọtara ya na ịrị elu mberede nke ọnụahịa ahịa nke igwe igwe na-agbanyeghachi ihe na-ebubata ya, emeela ka ọdachi ahụ dịkwuo egwu. N'ịhụ nsogbu ndị a na-agbasawanye njọ, olee otú kọmitii ndu ga-esi gbanwee nkwekọrịta nkwekọrịta iji chebe nloghachi nke ndị na-etinye ego n'aka ndị na-etinye ego n'aka ndị nwe ego na-enweghị isi n'ụzọ ziri ezi n'ebe ndị bi na-enweghị ego na-abaghị uru site na ịbawanye tarifu ọrụ?</t>
  </si>
  <si>
    <t xml:space="preserve">Biosafety/Agriculture Policy</t>
  </si>
  <si>
    <t xml:space="preserve">A regional agricultural research institute recently developed a drought-resistant, genetically modified cassava variety designed to double yields for smallholder farmers in arid regions. However, regional biosafety regulators have delayed its approval for three years, citing concerns over potential cross-pollination with indigenous wild varieties and the long-term impact on soil biodiversity, while local farming unions are staging protests demanding immediate access to the seeds to salvage this year's failing harvest. In this highly charged environment, how can the research institute construct a rigorous, transparent scientific framework that addresses regulatory environmental concerns through controlled field trials, while simultaneously establishing a temporary economic relief protocol that provides traditional seeds and emergency irrigation support to the protesting farmers to prevent widespread food insecurity in the interim?</t>
  </si>
  <si>
    <t xml:space="preserve">Otu ụlọ ọrụ nyocha ọrụ ugbo mpaghara mepụtara ụdị cassava na-eguzogide ekpomeekpo, nke a gbanwere mkpụrụ ndụ ihe nketa nke emere iji mee ka mkpụrụ osisi ahụ dị okpukpu abụọ maka ndị ọrụ ugbo obere na mpaghara ndị kpọrọ nkụ. Agbanyeghị, ndị na-achịkwa nchekwa biosafety mpaghara egbuola nkwenye ya afọ atọ, na-ekwu maka nchegbu gbasara mmegharị nsị na ụdị anụ ọhịa nke obodo na mmetụta dị ogologo oge na biodiversity ala, ebe ndị otu ọrụ ugbo mpaghara na-eme ngagharị iwe na-achọ nnweta ngwa ngwa mkpụrụ iji chekwaa mkpụrụ nke afọ a. N'ime ọnọdụ a dị oke egwu, olee otu ụlọ ọrụ nyocha nwere ike isi wuo usoro sayensị siri ike, nke na-edozi usoro iwu gburugburu ebe obibi site na nnwale n'ọchịkwa, ma n'otu oge ahụ guzobe usoro enyemaka akụ na</t>
  </si>
  <si>
    <t xml:space="preserve">Cybersecurity/National Defense</t>
  </si>
  <si>
    <t xml:space="preserve">In the context of modern asymmetric warfare, how can a sovereign state effectively attribute state-sponsored cyber espionage campaigns executed through complex networks of proxy threat actors, without escalating geopolitical tensions to the point of conventional military retaliation? What role does private sector threat intelligence play in validating these attribution claims when diplomatic channels are frozen?</t>
  </si>
  <si>
    <t xml:space="preserve">N'ihe banyere agha dị iche iche nke oge a, olee otu steeti nwere ikike ga-esi jiri nlezianya nyochaa mkpọsa ndị gọọmentị na-akwado nke cyber espionage nke a na-eme site na netwọk dị mgbagwoju anya nke ndị na-eyi egwu egwu, na-enweghị ịbawanye esemokwu geopolitical ruo n'ókè nke mmegwara agha nkịtị?</t>
  </si>
  <si>
    <t xml:space="preserve">Biomedical Ethics</t>
  </si>
  <si>
    <t xml:space="preserve">As gene-editing technologies like CRISPR transition from laboratory trials to clinical therapies for hereditary disorders, what international regulatory frameworks must be established to prevent the commercialization of genetic enhancements? How can global health bodies ensure equitable access to these life-saving, highly expensive treatments for low-income nations that lack the domestic manufacturing capacity to synthesize such complex biologics?</t>
  </si>
  <si>
    <t xml:space="preserve">Ka teknụzụ ndezi mkpụrụ ndụ dị ka CRISPR na-esi na nyocha nyocha gaa na ọgwụgwọ ọgwụgwọ maka ọrịa nketa, olee usoro iwu mba ụwa a ga-eme iji gbochie ịzụ ahịa nke mmụba mkpụrụ ndụ ihe nketa? Olee otu ụlọ ọrụ ahụike zuru ụwa ọnụ nwere ike isi hụ na ịnweta usoro ọgwụgwọ ndị a na-azọpụta ndụ, dị oke ọnụ maka mba ndị nwere obere ego na-enweghị ikike imepụta ụlọ iji mepụta biologics dị mgbagwoju anya?</t>
  </si>
  <si>
    <t xml:space="preserve">Labor Economics/AI</t>
  </si>
  <si>
    <t xml:space="preserve">How will the widespread deployment of autonomous driving technologies impact the labor market for commercial truck drivers and delivery workers over the next two decades, and what transition programs should governments fund to retrain displaced workers? Furthermore, what are the macroeconomic implications for secondary industries, such as roadside service stations and transit hospitality, which depend entirely on commercial highway traffic?</t>
  </si>
  <si>
    <t xml:space="preserve">Olee otú nkesa a na-eji nkà na ụzụ ụgbọala na-akwọ ụgbọala na-akwọ ụgbọala ga-esi emetụta ahịa ọrụ maka ndị ọkwọ ụgbọala na ndị ọrụ na-ebufe ụgbọala n'ahịa n'ime afọ iri abụọ na-abịanụ, gịnịkwa bụ usoro mgbanwe ndị gọọmenti kwesịrị ịkwado iji zụlite ndị ọrụ a chụpụrụ n'ebe obibi? Ọzọkwa, olee mmetụta macroeconomic maka ụlọ ọrụ ndị nke abụọ, dị ka ọdụ ụgbọelu dị n'akụkụ ụzọ na njem njem, nke dabere kpamkpam na okporo ụzọ okporo ụzọ azụmahịa?</t>
  </si>
  <si>
    <t xml:space="preserve">Astrophysics/Space Law</t>
  </si>
  <si>
    <t xml:space="preserve">With the rapid commercialization of low-Earth orbit by private satellite constellations, how can international space agencies mitigate the exponential growth of orbital debris under the existing, outdated outer space treaties? What legal and operational challenges arise when assigning financial liability for accidental collisions between decommissioned national satellites and active commercial payloads in contested orbital sectors?</t>
  </si>
  <si>
    <t xml:space="preserve">Site na ngwa ngwa nke azụmahịa nke mbara ala dị ala site na mbara igwe satellite nke onwe, olee otú ụlọ ọrụ mbara igwe mba ụwa nwere ike isi belata uto nke ihe mkpofu orbital n'okpuru nkwekọrịta mbara igwe dị adị, nke emechiela emechiela?</t>
  </si>
  <si>
    <t xml:space="preserve">Corporate Tax/Global Trade</t>
  </si>
  <si>
    <t xml:space="preserve">How does the implementation of a global minimum corporate tax rate of fifteen percent affect the competitiveness of developing nations that historically relied on tax holidays to attract foreign direct investment? What alternative economic incentives can these countries offer to multinational corporations without violating international trade treaties and anti-trust regulations?</t>
  </si>
  <si>
    <t xml:space="preserve">Olee otú mmejuputa nke ọnụego ụtụ isi ụlọ ọrụ kachasị nta nke pasent iri na ise n'ụwa nile si emetụta asọmpi nke mba ndị na-emepe emepe bụ́ ndị dabeere n'oge ememe ụtụ isi iji dọta ego si mba ọzọ na-etinye aka? Olee ihe ndị ọzọ na-akpali akpali akụ na ụba mba ndị a pụrụ inye ụlọ ọrụ multinational n'emereghị nkwekọrịta azụmahịa mba ụwa na iwu mgbochi ntụkwasị obi?</t>
  </si>
  <si>
    <t xml:space="preserve">Cognitive Psychology</t>
  </si>
  <si>
    <t xml:space="preserve">How does the continuous exposure to short-form algorithmic video content affect the development of sustained cognitive attention spans and executive functioning in adolescents, and what neural pathway adaptations are associated with these high-dopamine stimulus loops? Are these cognitive shifts reversible through structured digital detoxification programs?</t>
  </si>
  <si>
    <t xml:space="preserve">Kedu ka ikpughe na-aga n'ihu na ọdịnaya vidiyo algorithmic dị mkpụmkpụ si emetụta mmepe nke oge ntụgharị uche na arụmọrụ arụmọrụ na-arụ ọrụ na ndị nọ n'afọ iri na ụma, na ihe mgbanwe ụzọ akwara metụtara usoro mgbagwoju anya ndị a nwere dopamine dị elu?</t>
  </si>
  <si>
    <t xml:space="preserve">Quantum Computing</t>
  </si>
  <si>
    <t xml:space="preserve">If cryptographically relevant quantum computers are realized within the decade, what specific mathematical principles support post-quantum cryptographic algorithms, and how can enterprise financial institutions systematically migrate legacy public-key infrastructures without exposing sensitive transactional data to retrospective decryption attacks?</t>
  </si>
  <si>
    <t xml:space="preserve">Ọ bụrụ na a na-emepụta kọmputa quantum dị mkpa na nzuzo n'ime afọ iri ahụ, olee ụkpụrụ mgbakọ na mwepụ pụrụ iche na-akwado algorithms cryptographic post-quantum, oleekwa otú ụlọ ọrụ ego nwere ike isi na-agbanwe usoro ihe eji eme ihe na-akpata ihe nketa ọha na eze na-enweghị ikpughe data azụmahịa dị mwute na mwakpo decryption retrospective?</t>
  </si>
  <si>
    <t xml:space="preserve">Political Science/Democracy</t>
  </si>
  <si>
    <t xml:space="preserve">In what ways do corporate ownership structures of mainstream media conglomerates interact with public relations echo chambers to construct manufactured consent within democratic societies, and how can independent investigative journalism models survive when digital advertising revenue is monopolized by a handful of tech platforms?</t>
  </si>
  <si>
    <t xml:space="preserve">N'ụzọ ndị dị aṅaa ka ụlọ ọrụ nwe ụlọ ọrụ nke ndị isi mgbasa ozi mgbasa ozi na-emekọrịta ihe na ụlọ ọrụ mmekọrịta ọha na eze iji wuo nkwenye mepụtara n'ime ọha mmadụ, oleekwa otú ụdị nyocha nyocha nke onwe ya nwere ike isi lanarị mgbe a na-achịkwa ego mgbasa ozi dijitalụ site na ntanetị teknụzụ?</t>
  </si>
  <si>
    <t xml:space="preserve">Behavioral Finance</t>
  </si>
  <si>
    <t xml:space="preserve">How does collective market hysteria, amplified by real-time sentiment analysis on social media platforms, accelerate retail investor participation in highly speculative asset classes, and how do these coordinated buying surges challenge the traditional efficient market hypothesis? What protective regulatory mechanisms can prevent flash crashes without restricting retail market access?</t>
  </si>
  <si>
    <t xml:space="preserve">Olee otú hysteria ahịa nchịkọta, nke nyocha mmetụta uche na-eme n'oge na-adịgide adịgide na nyiwe mgbasa ozi mmekọrịta, na-eme ka ndị na-etinye ego na-azụ ahịa na-ekere òkè na ụdị akụ ndị na-eme atụmatụ nke ukwuu, oleekwa otú mmụba ịzụta a na-achịkwa si enye nsogbu n'echiche ahịa ahịa dị irè?</t>
  </si>
  <si>
    <t xml:space="preserve">Neuroethics/Brain-Computer Interfaces</t>
  </si>
  <si>
    <t xml:space="preserve">As invasive brain-computer interfaces advance toward commercial applications for cognitive enhancement and neural rehabilitation, what ethical and legal frameworks must be established to protect cognitive liberty and neural data privacy? Who owns the cognitive data generated by these interfaces, and how can society prevent the emergence of a cognitive divide between those who can afford enhancements and those who cannot?</t>
  </si>
  <si>
    <t xml:space="preserve">Ka ihe eji eme ihe na-eme ka ụbụrụ na kọmputa na-eme ihe na-aga n'ihu n'ebe a na-eji ngwa ahịa eme ihe maka nkwalite njirimara na nkwalite akwara, olee usoro iwu na usoro iwu ndị a ga-eme iji chebe nnwere onwe njirimara na nzuzo nke data akwara? Ònye nwe data njirimara nke njikọ ndị a mepụtara, oleekwa otú ọha mmadụ nwere ike isi gbochie ọdịiche nke njirimara n'etiti ndị nwere ike ịkwụ ụgwọ nkwalite na ndị na-enweghị ike?</t>
  </si>
  <si>
    <t xml:space="preserve">Corporate Governance/AI Ethics</t>
  </si>
  <si>
    <t xml:space="preserve">If an autonomous executive AI agent, acting on behalf of a decentralized autonomous organization (DAO), makes algorithmic trading decisions that result in systemic financial collapse for a regional market, where does legal liability reside under current corporate law? How should regulatory bodies adapt the concept of corporate personhood to address entities that operate entirely without human intervention or physical geographic registration?</t>
  </si>
  <si>
    <t xml:space="preserve">Ọ bụrụ na onye ọrụ AI na-arụ ọrụ na-enweghị isi, na-eme n'aha nzukọ nwere onwe ya (DAO), na-eme mkpebi algorithmic trading nke na-eduga na ọdịda ego nke usoro maka ahịa mpaghara, ebee ka ụgwọ iwu dị n'okpuru iwu ụlọ ọrụ dị ugbu a? Olee otu ndị na-achịkwa kwesịrị isi gbanwee echiche nke njirimara ụlọ ọrụ iji lebara anya na entities na-arụ ọrụ kpamkpam na-enweghị ntinye aka mmadụ ma ọ bụ ndebanye aha mpaghara anụ ahụ?</t>
  </si>
  <si>
    <t xml:space="preserve">Geopolitical Strategy/Energy</t>
  </si>
  <si>
    <t xml:space="preserve">As global superpower blocks transition from fossil fuels to renewable energy systems, how will the geopolitics of energy security shift from securing oil transport corridors to dominating the supply chains of rare earth minerals like lithium, cobalt, and neodymium? What strategic alliances must developing nations in the Global South form to prevent neo-colonial exploitation of their mineral wealth while building domestic refining capacities?</t>
  </si>
  <si>
    <t xml:space="preserve">Ebe ọ bụ na mba dị iche iche na-emepe emepe na-egbochi mgbanwe site na mmanụ fosil gaa na usoro ike a na-agbanwe agbanwe, olee otú geopolitics nke nchekwa nchekwa ike ga-esi gbanwee site na ijigide ụzọ njem mmanụ mmanụ na-achịkwa usoro ọkọnọ nke mineral ala dị ụkọ dị ka lithium, cobalt, na neodymium?</t>
  </si>
  <si>
    <t xml:space="preserve">Philosophy of Science</t>
  </si>
  <si>
    <t xml:space="preserve">How does the paradigm shift from classical reductionist physics to quantum mechanics challenge the traditional epistemological assumptions of scientific realism and deterministic causality, and what are the implications of this shift for how we construct models of complex biological systems?</t>
  </si>
  <si>
    <t xml:space="preserve">Olee otú mgbanwe paradigm si site na physics nke ọdịnala na-ebelata na quantum mechanics na-agbagha echiche epistemological ọdịnala nke nkà mmụta sayensị realism na deterministic causality, na ihe ndị na-emetụta mgbanwe a maka otú anyị na-ewu ihe nlereanya nke mgbagwoju usoro biological?</t>
  </si>
  <si>
    <t xml:space="preserve">Public Education/Socio-Economics</t>
  </si>
  <si>
    <t xml:space="preserve">Given the deep systemic inequities in school funding models based on local property taxes, how can state governments redesign educational finance formulas to guarantee equitable resources for underfunded districts without triggering political backlash from wealthier suburban communities? What quantitative metrics should be used to evaluate the long-term socio-economic return on these educational investments?</t>
  </si>
  <si>
    <t xml:space="preserve">N'iburu n'uche ajọ usoro iheomume dị n'ime ụdị ego ụlọ akwụkwọ dabere na ụtụ isi ala, olee otu gọọmentị steeti nwere ike isi gbanwee usoro ego agụmakwụkwọ iji hụ na akụnụba ziri ezi maka mpaghara ndị na-erughị eru na-enweghị ịkpata mmeghachi omume ndọrọ ndọrọ ọchịchị site na obodo ndị bara ọgaranya karịa? Metrik ole ka a ga-eji nyochaa nloghachi socioeconomic ogologo oge na ntinye ego agụmakwụkwọ ndị a?</t>
  </si>
  <si>
    <t xml:space="preserve">Environmental Architecture</t>
  </si>
  <si>
    <t xml:space="preserve">How can structural engineers integrate biomimetic principles into urban high-rise design to passively regulate thermal environments and maximize energy efficiency in extreme tropical climates, and what are the initial capital cost trade-offs compared to traditional HVAC systems? How do these green buildings impact the microclimates of high-density cities over time?</t>
  </si>
  <si>
    <t xml:space="preserve">Olee otú ndị injinia ụlọ nwere ike isi tinye ụkpụrụ biomimetic n'ime imepụta ụlọ elu dị elu n'obodo ukwu iji chịkwaa ọnọdụ okpomọkụ na-enweghị isi ma mee ka ike dịkwuo elu na ọnọdụ ihu igwe dị oke egwu, gịnịkwa bụ mgbanwe mbụ nke ego ego ma e jiri ya tụnyere usoro HVAC ọdịnala? Olee otú ụlọ ndị a na-acha akwụkwọ ndụ akwụkwọ ndụ si emetụta microclimates nke obodo ndị nwere oke oke ọkụ n'oge?</t>
  </si>
  <si>
    <t xml:space="preserve">Maritime Law/Global Commerce</t>
  </si>
  <si>
    <t xml:space="preserve">If shipping lanes in the Arctic Ocean become permanently navigable due to polar ice melt, what international maritime disputes will arise between circumpolar nations regarding sovereignty over exclusive economic zones, and how will these new transit routes restructure the logistics of global trade between East Asia and Northern Europe?</t>
  </si>
  <si>
    <t xml:space="preserve">Ọ bụrụ na ụzọ ụgbọ mmiri ndị dị n'Oké Osimiri Arctic ga-abụ ndị a pụrụ ịgbanye mmiri na ha n'ihi otú oké osimiri polar si agbaze, olee esemokwu ndị dị n'oké osimiri mba dị iche iche ga-enwe n'etiti mba ndị dị n'akụkụ ụwa gburugburu ebe obibi banyere ikike ịchịkwa mpaghara akụ̀ na ụba pụrụ iche, oleekwa otú ụzọ ndị a ga-esi mee ka ụzọ ndị a dị ọhụrụ gbanwee usoro ịzụ ahịa zuru ụwa ọnụ n'etiti East Asia na Northern Europe?</t>
  </si>
  <si>
    <t xml:space="preserve">Sociology of Work</t>
  </si>
  <si>
    <t xml:space="preserve">How does the rise of the gig economy and platform-mediated labor alter the psychological contract between employers and workers, and what are the long-term societal consequences of decoupling employment from traditional benefits like health insurance, pensions, and job security?</t>
  </si>
  <si>
    <t xml:space="preserve">Olee otú ịrị elu nke akụnụba gig na ọrụ na-arụ ọrụ na-agbanwe nkwekọrịta nke uche n'etiti ndị were mmadụ n'ọrụ na ndị ọrụ, gịnịkwa bụ mmetụta dị ogologo oge nke mmekọrịta mmadụ na ibe ya nke ịhapụ ọrụ site na uru ọdịnala dị ka mkpuchi ahụike, ezumike nka, na nchebe ọrụ?</t>
  </si>
  <si>
    <t xml:space="preserve">Water Resource Management</t>
  </si>
  <si>
    <t xml:space="preserve">With transboundary river basins facing severe depletion due to agricultural over-extraction and climate-induced droughts, what cooperative water-sharing frameworks are most resilient to political conflict, and how can international arbitration panels enforce water allocation quotas when sovereign nations prioritize domestic food security over regional treaties?</t>
  </si>
  <si>
    <t xml:space="preserve">Ebe ọ bụ na mmiri mmiri dị n'akụkụ osimiri ndị dị n'ala ala dị iche iche na-enwe oké nkụda mmụọ n'ihi oke ihe ọkụkụ na oké ọkọchị ndị sitere n'okike ihu igwe, olee usoro nhazi mmiri nke na-eguzogide esemokwu ndọrọ ndọrọ ọchịchị, oleekwa otú ndị ọkàikpe mba ụwa nwere ike isi mee ka quota nke inyefe mmiri dị irè mgbe mba ndị nwere ikike na-ebute ụzọ n'ihe banyere nchekwa nri nke mba karịa nkwekọrịta mpaghara?</t>
  </si>
  <si>
    <t xml:space="preserve">Artificial Intelligence/Creativity</t>
  </si>
  <si>
    <t xml:space="preserve">In the context of copyright law, does the training of generative AI models on copyrighted artistic works without explicit consent constitute fair use, or does it represent a systemic infringement of intellectual property rights that deprives creators of their livelihood? How can global copyright registries adapt to track and compensate artists for their stylistic contributions to synthetic media?</t>
  </si>
  <si>
    <t xml:space="preserve">N'ihe gbasara iwu nwebisiinka, ọzụzụ nke ụdị AI na-emepụta ihe na ọrụ nka nke nwere ikike nwebisiinka na-enweghị nkwenye doro anya ọ bụ iji ya eme ihe n'ụzọ ziri ezi, ma ọ bụ na ọ na-anọchite anya mmegide usoro nke ikike ikike ọgụgụ isi nke na-ewepụ ndị okike ihe ha na-ebi ndụ? Olee otú ndekọ ikike nwebisiinka zuru ụwa ọnụ nwere ike isi gbanwee iji soro ma kwụọ ụgwọ ndị na-ese ihe maka onyinye ha na-enye na mgbasa ozi mmekọrịta?</t>
  </si>
  <si>
    <t xml:space="preserve">Epidemiology/Global Policy</t>
  </si>
  <si>
    <t xml:space="preserve">How can global health organizations construct a more resilient early-detection network for zoonotic pathogens in tropical forest boundaries, where agricultural expansion increases human-wildlife contact? What international funding mechanisms are required to subsidize rapid vaccine development and distribution before local outbreaks escalate into global pandemics?</t>
  </si>
  <si>
    <t xml:space="preserve">Olee otú òtù ahụike zuru ụwa ọnụ pụrụ isi wuo netwọk nchọpụta oge mbụ dị ike maka ndị na-akpata ọrịa zoonotic na oke ọhịa ndị dị n'ókèala okpomọkụ, ebe mgbasawanye ọrụ ugbo na-eme ka mmadụ na anụ ọhịa na-enwekwu nkwurịta okwu? Olee usoro ego mba ụwa dị mkpa iji kwado mmepe ngwa ngwa nke ọgwụ mgbochi na nkesa tupu ntiwapụ nke ọrịa ndị dị n'ógbè ahụ agbagoo n'ime ọrịa ndị na-efe efe zuru ụwa ọnụ?</t>
  </si>
  <si>
    <t xml:space="preserve">Constitutional Law</t>
  </si>
  <si>
    <t xml:space="preserve">How does the tension between state-level police powers and federally protected civil liberties resolve during a declared public health emergency, and what judicial standards should be applied to determine whether restrictions on movement and association are narrowly tailored to achieve a compelling government interest?</t>
  </si>
  <si>
    <t xml:space="preserve">Olee otú esemokwu dị n'etiti ikike ndị uwe ojii dị n'ógbè ahụ na nnwere onwe ndị mmadụ nke gọọmenti etiti na-echebe si edozi n'oge a mara ọkwa ọnọdụ mberede ahụike ọha, oleekwa ụkpụrụ ikpe kwesịrị itinye n'ọrụ iji chọpụta ma ọ bụrụ na e mere ka mmachi nke mmegharị na mkpakọrịta dị mkpagide iji nweta ọdịmma gọọmentị na-akpali akpali?</t>
  </si>
  <si>
    <t xml:space="preserve">Agricultural Biotechnology</t>
  </si>
  <si>
    <t xml:space="preserve">How do epigenetic modifications induced by extreme environmental stress affect the generational yield stability of hybridized staple crops, and what genetic engineering strategies can permanently lock in climate-resilient traits without compromising nutritional value or raising seed licensing fees for subsistence farmers?</t>
  </si>
  <si>
    <t xml:space="preserve">Olee otú mgbanwe epigenetic nke nrụgide gburugburu ebe obibi siri ike na-akpata si emetụta nkwụsi ike mkpụrụ osisi nke mkpụrụ osisi ndị e ji akpata ihe ubi, na usoro injinịa mkpụrụ ndụ ihe nketa dị aṅaa pụrụ imechi àgwà ndị na-eguzogide ihu igwe kpamkpam n'emeghị ka uru nri dị ize ndụ ma ọ bụ ịbawanye ụgwọ ikike mkpụrụ osisi maka ndị ọrụ ugbo na-ebi ndụ?</t>
  </si>
  <si>
    <t xml:space="preserve">Financial Cryptography</t>
  </si>
  <si>
    <t xml:space="preserve">As central bank digital currencies (CBDCs) are designed for national deployment, how can architects balance the requirement for complete transaction traceability to prevent money laundering with the fundamental human right to financial privacy and anonymous peer-to-peer exchange? What cryptographic protocols, such as zero-knowledge proofs, can bridge this technical divide?</t>
  </si>
  <si>
    <t xml:space="preserve">Ebe ọ bụ na e mepụtara ego dijitalụ nke ụlọ akụ etiti (CBDCs) maka itinye n'ọrụ na mba, olee otu ndị na-ese ihe ga-esi mee ka mkpa maka traceability zuru oke nke azụmahịa iji gbochie ịkwọ ego na ikike mmadụ dị mkpa maka nzuzo ego na mgbanwe ibe-na-enweghị aha?</t>
  </si>
  <si>
    <t xml:space="preserve">Urban Sociology/Gentrification</t>
  </si>
  <si>
    <t xml:space="preserve">How does the influx of high-income tech sector workers into historically working-class neighborhoods accelerate displacement, and what public policies, such as community land trusts and inclusionary zoning, are most effective at preserving cultural heritage and affordable housing? How can these policies be structured to encourage economic development without alienating long-term residents?</t>
  </si>
  <si>
    <t xml:space="preserve">Kedu ka mmata nke ndị ọrụ ụlọ ọrụ teknụzụ nwere ego dị elu na mpaghara ndị na-arụ ọrụ n'oge gara aga si mee ka ndị mmadụ si ebe ndị ọzọ na-agagharị, na usoro iwu ọha na eze dị aṅaa, dị ka ntụkwasị obi ala obodo na nhazi mpaghara, dị irè karị maka ichebe ihe nketa ọdịbendị na ụlọ ndị dị ọnụ ala? Olee otú a ga-esi hazie usoro iwu ndị a iji gbaa ume mmepe akụ na ụba n'emeghị ka ndị bi ogologo oge pụọ iche?</t>
  </si>
  <si>
    <t xml:space="preserve">Meta-Ethics/Philosophy</t>
  </si>
  <si>
    <t xml:space="preserve">If moral values are fundamentally shaped by evolutionary biology and cultural adaptation, how can we construct a rational, objective framework for global human rights that transcends cultural relativism without imposing Western-centric ethical assumptions on non-Western societies?</t>
  </si>
  <si>
    <t xml:space="preserve">Ọ bụrụ na ụkpụrụ omume ọma bụ ihe ndị dị mkpa nke biology evolushọn na mmezi omenala, olee otú anyị pụrụ isi wuo usoro ezi uche dị na ya, nke na-enweghị isi maka ikike ụmụ mmadụ zuru ụwa ọnụ nke gafere echiche nke ọdịbendị na-enweghị ịtụkwasị echiche omume nke ọdịda anyanwụ na-abụghị nke ọdịda anyanwụ?</t>
  </si>
  <si>
    <t xml:space="preserve">Mechanical Engineering/Aerospace</t>
  </si>
  <si>
    <t xml:space="preserve">What are the structural limits of carbon fiber composite materials when subjected to extreme thermodynamic stress during hypersonic atmospheric re-entry, and how can computational fluid dynamics models better predict structural fatigue in localized zones of turbulent boundary-layer transition?</t>
  </si>
  <si>
    <t xml:space="preserve">Kedu ihe bụ ihe iwu kwadoro nke ihe mejupụtara eriri carbon mgbe a na-etinye ya na nrụgide thermodynamic dị oke egwu n'oge ntinye ikuku hypersonic, oleekwa otú usoro nhazi nke fluid dynamics nwere ike isi buru amụma nke ọma na ike ọgwụgwụ nke usoro na mpaghara mpaghara nke mgbanwe mgbagwoju anya nke oke-n'ókè?</t>
  </si>
  <si>
    <t xml:space="preserve">Macroprudential Regulation</t>
  </si>
  <si>
    <t xml:space="preserve">In what ways do shadow banking entities and non-bank financial intermediaries transmit systemic risk during periods of monetary tightening, and how can central banks expand their regulatory perimeter to monitor these opaque credit-creation channels without triggering credit market illiquidity?</t>
  </si>
  <si>
    <t xml:space="preserve">N'ụzọ ndị dị aṅaa ka ụlọ akụ na-emefu ego na ndị na-abụghị ndị na-enyefe ego na-ebufe ihe ize ndụ usoro n'oge oge nke mgbochi ego, oleekwa otú ụlọ akụ etiti nwere ike isi gbasaa mpaghara iwu ha iji nyochaa ọwa ndị a na-adịghị edozi anya nke ịmepụta kredit n'emeghị ka ọ bụrụ na ọ bụghị ihe na-akpata illiquidity nke ahịa kredit?</t>
  </si>
  <si>
    <t xml:space="preserve">Microbiology/Evolutionary Biology</t>
  </si>
  <si>
    <t xml:space="preserve">How does the horizontal gene transfer of antibiotic resistance genes among diverse bacterial communities in agricultural runoff accelerate the emergence of multi-drug resistant superbugs, and what ecological remediation strategies can neutralize these resistance reservoirs before they contaminate municipal drinking water systems?</t>
  </si>
  <si>
    <t xml:space="preserve">Olee otú nnyefe mkpụrụ ndụ ihe nketa nke mkpụrụ ndụ ihe nketa na-eguzogide ọgwụ nje n'etiti obodo bacteria dị iche iche na-eme ka mmapụta nke superbugs ndị na-eguzogide ọgwụ dị iche iche dị ngwa, na usoro mmezi gburugburu ebe obibi dị aṅaa pụrụ ime ka ihe ndị a na-eguzogide ọgwụ na-eguzogide ọgwụ ghara ịdị irè tupu ha emerụ usoro mmiri ọ drinkingụ drinkingụ obodo?</t>
  </si>
  <si>
    <t xml:space="preserve">International Relations/Sanctions</t>
  </si>
  <si>
    <t xml:space="preserve">To what extent do economic sanctions imposed by multilateral coalitions succeed in modifying the behavior of authoritarian regimes, and how do target states strategically bypass these restrictions through parallel shadow financial networks and bilateral barter trade agreements with non-aligned nations?</t>
  </si>
  <si>
    <t xml:space="preserve">Ruo ókè ha aṅaa ka mmegbu akụ̀ na ụba nke òtù dị iche iche na-etinye na-enwe ihe ịga nke ọma n'ịgbanwe omume nke ọchịchị aka ike, oleekwa otú mba ndị a na-elebara anya si eme ihe iji gbochie mmachi ndị a site n'inwe netwọkụ ego na-emechi anya na nkwekọrịta azụmahịa abụọ na mba ndị na-anọghị n'otu?</t>
  </si>
  <si>
    <t xml:space="preserve">Complex Systems/Climate Modeling</t>
  </si>
  <si>
    <t xml:space="preserve">Given the highly non-linear feedback loops inherent in global climate systems, such as the thawing of Arctic permafrost releasing massive reservoirs of methane, how can scientists reduce uncertainty in long-range temperature projections to provide policy-makers with actionable, localized adaptation timelines? What are the mathematical limits of predicting sudden, catastrophic tipping points in these complex systems?</t>
  </si>
  <si>
    <t xml:space="preserve">N'iburu n'uche usoro nzaghachi na-abụghị nke dị n'usoro nke usoro ihu igwe zuru ụwa ọnụ, dị ka ịgbanye permafrost Arctic na-ewepụta nnukwu ihe nchekwa nke methane, olee otu ndị ọkà mmụta sayensị ga-esi belata ejighị n'aka na amụma okpomọkụ dị ogologo iji nye ndị na-eme iwu usoro nhazi oge eji eme ihe, nke dị n'ógbè? Gịnị bụ njedebe mgbakọ na mwepụ nke ịkọ amụma mberede, ọdachi na-akpata nrịba n'ọnọdụ dị mgbagwoju anya na usoro ndị a?</t>
  </si>
  <si>
    <t xml:space="preserve">Average (scored rows only)</t>
  </si>
  <si>
    <t xml:space="preserve">Summary by Category</t>
  </si>
  <si>
    <t xml:space="preserve">Count</t>
  </si>
  <si>
    <t xml:space="preserve">Avg Accuracy</t>
  </si>
  <si>
    <t xml:space="preserve">Avg Fluency</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</si>
</sst>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b val="true"/>
      <sz val="12"/>
      <color rgb="FF1F4E3D"/>
      <name val="Arial"/>
      <family val="0"/>
      <charset val="1"/>
    </font>
    <font>
      <sz val="11"/>
      <name val="Arial"/>
      <family val="0"/>
      <charset val="1"/>
    </font>
    <font>
      <b val="true"/>
      <sz val="11"/>
      <color rgb="FFFFFFFF"/>
      <name val="Arial"/>
      <family val="0"/>
      <charset val="1"/>
    </font>
    <font>
      <sz val="10"/>
      <name val="Arial"/>
      <family val="0"/>
      <charset val="1"/>
    </font>
    <font>
      <b val="true"/>
      <sz val="10"/>
      <name val="Arial"/>
      <family val="0"/>
      <charset val="1"/>
    </font>
  </fonts>
  <fills count="5">
    <fill>
      <patternFill patternType="none"/>
    </fill>
    <fill>
      <patternFill patternType="gray125"/>
    </fill>
    <fill>
      <patternFill patternType="solid">
        <fgColor rgb="FF1F4E3D"/>
        <bgColor rgb="FF003366"/>
      </patternFill>
    </fill>
    <fill>
      <patternFill patternType="solid">
        <fgColor rgb="FFF8CBCB"/>
        <bgColor rgb="FFD9D9D9"/>
      </patternFill>
    </fill>
    <fill>
      <patternFill patternType="solid">
        <fgColor rgb="FFFFF2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C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19.7" hidden="false" customHeight="false" outlineLevel="0" collapsed="false">
      <c r="B2" s="1" t="s">
        <v>0</v>
      </c>
    </row>
    <row r="4" customFormat="false" ht="15" hidden="false" customHeight="false" outlineLevel="0" collapsed="false">
      <c r="B4" s="2" t="s">
        <v>1</v>
      </c>
    </row>
    <row r="5" customFormat="false" ht="15" hidden="false" customHeight="false" outlineLevel="0" collapsed="false">
      <c r="B5" s="3" t="s">
        <v>2</v>
      </c>
    </row>
    <row r="6" customFormat="false" ht="15" hidden="false" customHeight="false" outlineLevel="0" collapsed="false">
      <c r="B6" s="3" t="s">
        <v>3</v>
      </c>
    </row>
    <row r="7" customFormat="false" ht="26.85" hidden="false" customHeight="false" outlineLevel="0" collapsed="false">
      <c r="B7" s="3" t="s">
        <v>4</v>
      </c>
    </row>
    <row r="9" customFormat="false" ht="15" hidden="false" customHeight="false" outlineLevel="0" collapsed="false">
      <c r="B9" s="2" t="s">
        <v>5</v>
      </c>
    </row>
    <row r="10" customFormat="false" ht="15" hidden="false" customHeight="false" outlineLevel="0" collapsed="false">
      <c r="B10" s="3" t="s">
        <v>6</v>
      </c>
    </row>
    <row r="11" customFormat="false" ht="15" hidden="false" customHeight="false" outlineLevel="0" collapsed="false">
      <c r="B11" s="3" t="s">
        <v>7</v>
      </c>
    </row>
    <row r="12" customFormat="false" ht="15" hidden="false" customHeight="false" outlineLevel="0" collapsed="false">
      <c r="B12" s="3" t="s">
        <v>8</v>
      </c>
    </row>
    <row r="13" customFormat="false" ht="15" hidden="false" customHeight="false" outlineLevel="0" collapsed="false">
      <c r="B13" s="3" t="s">
        <v>9</v>
      </c>
    </row>
    <row r="14" customFormat="false" ht="15" hidden="false" customHeight="false" outlineLevel="0" collapsed="false">
      <c r="B14" s="3" t="s">
        <v>10</v>
      </c>
    </row>
    <row r="16" customFormat="false" ht="15" hidden="false" customHeight="false" outlineLevel="0" collapsed="false">
      <c r="B16" s="2" t="s">
        <v>11</v>
      </c>
    </row>
    <row r="17" customFormat="false" ht="15" hidden="false" customHeight="false" outlineLevel="0" collapsed="false">
      <c r="B17" s="3" t="s">
        <v>12</v>
      </c>
    </row>
    <row r="18" customFormat="false" ht="15" hidden="false" customHeight="false" outlineLevel="0" collapsed="false">
      <c r="B18" s="3" t="s">
        <v>13</v>
      </c>
    </row>
    <row r="19" customFormat="false" ht="15" hidden="false" customHeight="false" outlineLevel="0" collapsed="false">
      <c r="B19" s="3" t="s">
        <v>14</v>
      </c>
    </row>
    <row r="20" customFormat="false" ht="15" hidden="false" customHeight="false" outlineLevel="0" collapsed="false">
      <c r="B20" s="3" t="s">
        <v>15</v>
      </c>
    </row>
    <row r="21" customFormat="false" ht="15" hidden="false" customHeight="false" outlineLevel="0" collapsed="false">
      <c r="B21" s="3" t="s">
        <v>16</v>
      </c>
    </row>
    <row r="23" customFormat="false" ht="15" hidden="false" customHeight="false" outlineLevel="0" collapsed="false">
      <c r="B23" s="2" t="s">
        <v>17</v>
      </c>
    </row>
    <row r="24" customFormat="false" ht="26.85" hidden="false" customHeight="false" outlineLevel="0" collapsed="false">
      <c r="B24" s="3" t="s">
        <v>18</v>
      </c>
    </row>
    <row r="25" customFormat="false" ht="15" hidden="false" customHeight="false" outlineLevel="0" collapsed="false">
      <c r="B25"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12"/>
    <col collapsed="false" customWidth="true" hidden="false" outlineLevel="0" max="5" min="4" style="0" width="42"/>
    <col collapsed="false" customWidth="true" hidden="false" outlineLevel="0" max="6" min="6" style="0" width="10"/>
    <col collapsed="false" customWidth="true" hidden="false" outlineLevel="0" max="7" min="7" style="0" width="14"/>
    <col collapsed="false" customWidth="true" hidden="false" outlineLevel="0" max="8" min="8" style="0" width="12"/>
    <col collapsed="false" customWidth="true" hidden="false" outlineLevel="0" max="9" min="9" style="0" width="30"/>
  </cols>
  <sheetData>
    <row r="1" customFormat="false" ht="26.85" hidden="false" customHeight="false" outlineLevel="0" collapsed="false">
      <c r="A1" s="4" t="s">
        <v>20</v>
      </c>
      <c r="B1" s="4" t="s">
        <v>21</v>
      </c>
      <c r="C1" s="4" t="s">
        <v>22</v>
      </c>
      <c r="D1" s="4" t="s">
        <v>23</v>
      </c>
      <c r="E1" s="4" t="s">
        <v>24</v>
      </c>
      <c r="F1" s="4" t="s">
        <v>25</v>
      </c>
      <c r="G1" s="4" t="s">
        <v>26</v>
      </c>
      <c r="H1" s="4" t="s">
        <v>27</v>
      </c>
      <c r="I1" s="4" t="s">
        <v>28</v>
      </c>
    </row>
    <row r="2" customFormat="false" ht="30" hidden="false" customHeight="true" outlineLevel="0" collapsed="false">
      <c r="A2" s="5" t="n">
        <v>1</v>
      </c>
      <c r="B2" s="5" t="s">
        <v>29</v>
      </c>
      <c r="C2" s="5" t="s">
        <v>30</v>
      </c>
      <c r="D2" s="6" t="s">
        <v>31</v>
      </c>
      <c r="E2" s="7" t="s">
        <v>32</v>
      </c>
      <c r="F2" s="8" t="s">
        <v>33</v>
      </c>
      <c r="G2" s="5"/>
      <c r="H2" s="5"/>
      <c r="I2" s="6"/>
    </row>
    <row r="3" customFormat="false" ht="30" hidden="false" customHeight="true" outlineLevel="0" collapsed="false">
      <c r="A3" s="5" t="n">
        <v>2</v>
      </c>
      <c r="B3" s="5" t="s">
        <v>30</v>
      </c>
      <c r="C3" s="5" t="s">
        <v>30</v>
      </c>
      <c r="D3" s="6" t="s">
        <v>34</v>
      </c>
      <c r="E3" s="7" t="s">
        <v>32</v>
      </c>
      <c r="F3" s="8" t="s">
        <v>33</v>
      </c>
      <c r="G3" s="5"/>
      <c r="H3" s="5"/>
      <c r="I3" s="6"/>
    </row>
    <row r="4" customFormat="false" ht="30" hidden="false" customHeight="true" outlineLevel="0" collapsed="false">
      <c r="A4" s="5" t="n">
        <v>3</v>
      </c>
      <c r="B4" s="5" t="s">
        <v>35</v>
      </c>
      <c r="C4" s="5" t="s">
        <v>30</v>
      </c>
      <c r="D4" s="6" t="s">
        <v>36</v>
      </c>
      <c r="E4" s="6" t="s">
        <v>37</v>
      </c>
      <c r="F4" s="9" t="s">
        <v>38</v>
      </c>
      <c r="G4" s="10"/>
      <c r="H4" s="10"/>
      <c r="I4" s="6"/>
    </row>
    <row r="5" customFormat="false" ht="30" hidden="false" customHeight="true" outlineLevel="0" collapsed="false">
      <c r="A5" s="5" t="n">
        <v>4</v>
      </c>
      <c r="B5" s="5" t="s">
        <v>39</v>
      </c>
      <c r="C5" s="5" t="s">
        <v>30</v>
      </c>
      <c r="D5" s="6" t="s">
        <v>40</v>
      </c>
      <c r="E5" s="6" t="s">
        <v>41</v>
      </c>
      <c r="F5" s="9" t="s">
        <v>38</v>
      </c>
      <c r="G5" s="10"/>
      <c r="H5" s="10"/>
      <c r="I5" s="6"/>
    </row>
    <row r="6" customFormat="false" ht="30" hidden="false" customHeight="true" outlineLevel="0" collapsed="false">
      <c r="A6" s="5" t="n">
        <v>5</v>
      </c>
      <c r="B6" s="5" t="s">
        <v>30</v>
      </c>
      <c r="C6" s="5" t="s">
        <v>30</v>
      </c>
      <c r="D6" s="6" t="s">
        <v>42</v>
      </c>
      <c r="E6" s="6" t="s">
        <v>43</v>
      </c>
      <c r="F6" s="9" t="s">
        <v>38</v>
      </c>
      <c r="G6" s="10"/>
      <c r="H6" s="10"/>
      <c r="I6" s="6"/>
    </row>
    <row r="7" customFormat="false" ht="30" hidden="false" customHeight="true" outlineLevel="0" collapsed="false">
      <c r="A7" s="5" t="n">
        <v>6</v>
      </c>
      <c r="B7" s="5" t="s">
        <v>44</v>
      </c>
      <c r="C7" s="5" t="s">
        <v>30</v>
      </c>
      <c r="D7" s="6" t="s">
        <v>45</v>
      </c>
      <c r="E7" s="6" t="s">
        <v>46</v>
      </c>
      <c r="F7" s="9" t="s">
        <v>38</v>
      </c>
      <c r="G7" s="10"/>
      <c r="H7" s="10"/>
      <c r="I7" s="6"/>
    </row>
    <row r="8" customFormat="false" ht="30" hidden="false" customHeight="true" outlineLevel="0" collapsed="false">
      <c r="A8" s="5" t="n">
        <v>7</v>
      </c>
      <c r="B8" s="5" t="s">
        <v>47</v>
      </c>
      <c r="C8" s="5" t="s">
        <v>30</v>
      </c>
      <c r="D8" s="6" t="s">
        <v>48</v>
      </c>
      <c r="E8" s="6" t="s">
        <v>49</v>
      </c>
      <c r="F8" s="9" t="s">
        <v>38</v>
      </c>
      <c r="G8" s="10"/>
      <c r="H8" s="10"/>
      <c r="I8" s="6"/>
    </row>
    <row r="9" customFormat="false" ht="30" hidden="false" customHeight="true" outlineLevel="0" collapsed="false">
      <c r="A9" s="5" t="n">
        <v>8</v>
      </c>
      <c r="B9" s="5" t="s">
        <v>50</v>
      </c>
      <c r="C9" s="5" t="s">
        <v>30</v>
      </c>
      <c r="D9" s="6" t="s">
        <v>51</v>
      </c>
      <c r="E9" s="6" t="s">
        <v>52</v>
      </c>
      <c r="F9" s="9" t="s">
        <v>38</v>
      </c>
      <c r="G9" s="10"/>
      <c r="H9" s="10"/>
      <c r="I9" s="6"/>
    </row>
    <row r="10" customFormat="false" ht="30" hidden="false" customHeight="true" outlineLevel="0" collapsed="false">
      <c r="A10" s="5" t="n">
        <v>9</v>
      </c>
      <c r="B10" s="5" t="s">
        <v>53</v>
      </c>
      <c r="C10" s="5" t="s">
        <v>30</v>
      </c>
      <c r="D10" s="6" t="s">
        <v>54</v>
      </c>
      <c r="E10" s="6" t="s">
        <v>55</v>
      </c>
      <c r="F10" s="9" t="s">
        <v>38</v>
      </c>
      <c r="G10" s="10"/>
      <c r="H10" s="10"/>
      <c r="I10" s="6"/>
    </row>
    <row r="11" customFormat="false" ht="30" hidden="false" customHeight="true" outlineLevel="0" collapsed="false">
      <c r="A11" s="5" t="n">
        <v>10</v>
      </c>
      <c r="B11" s="5" t="s">
        <v>56</v>
      </c>
      <c r="C11" s="5" t="s">
        <v>30</v>
      </c>
      <c r="D11" s="6" t="s">
        <v>57</v>
      </c>
      <c r="E11" s="6" t="s">
        <v>58</v>
      </c>
      <c r="F11" s="9" t="s">
        <v>38</v>
      </c>
      <c r="G11" s="10"/>
      <c r="H11" s="10"/>
      <c r="I11" s="6"/>
    </row>
    <row r="12" customFormat="false" ht="30" hidden="false" customHeight="true" outlineLevel="0" collapsed="false">
      <c r="A12" s="5" t="n">
        <v>11</v>
      </c>
      <c r="B12" s="5" t="s">
        <v>59</v>
      </c>
      <c r="C12" s="5" t="s">
        <v>30</v>
      </c>
      <c r="D12" s="6" t="s">
        <v>60</v>
      </c>
      <c r="E12" s="6" t="s">
        <v>61</v>
      </c>
      <c r="F12" s="9" t="s">
        <v>38</v>
      </c>
      <c r="G12" s="10"/>
      <c r="H12" s="10"/>
      <c r="I12" s="6"/>
    </row>
    <row r="13" customFormat="false" ht="30" hidden="false" customHeight="true" outlineLevel="0" collapsed="false">
      <c r="A13" s="5" t="n">
        <v>12</v>
      </c>
      <c r="B13" s="5" t="s">
        <v>62</v>
      </c>
      <c r="C13" s="5" t="s">
        <v>30</v>
      </c>
      <c r="D13" s="6" t="s">
        <v>63</v>
      </c>
      <c r="E13" s="6" t="s">
        <v>64</v>
      </c>
      <c r="F13" s="9" t="s">
        <v>38</v>
      </c>
      <c r="G13" s="10"/>
      <c r="H13" s="10"/>
      <c r="I13" s="6"/>
    </row>
    <row r="14" customFormat="false" ht="30" hidden="false" customHeight="true" outlineLevel="0" collapsed="false">
      <c r="A14" s="5" t="n">
        <v>13</v>
      </c>
      <c r="B14" s="5" t="s">
        <v>65</v>
      </c>
      <c r="C14" s="5" t="s">
        <v>30</v>
      </c>
      <c r="D14" s="6" t="s">
        <v>66</v>
      </c>
      <c r="E14" s="6" t="s">
        <v>67</v>
      </c>
      <c r="F14" s="9" t="s">
        <v>38</v>
      </c>
      <c r="G14" s="10"/>
      <c r="H14" s="10"/>
      <c r="I14" s="6"/>
    </row>
    <row r="15" customFormat="false" ht="30" hidden="false" customHeight="true" outlineLevel="0" collapsed="false">
      <c r="A15" s="5" t="n">
        <v>14</v>
      </c>
      <c r="B15" s="5" t="s">
        <v>68</v>
      </c>
      <c r="C15" s="5" t="s">
        <v>30</v>
      </c>
      <c r="D15" s="6" t="s">
        <v>69</v>
      </c>
      <c r="E15" s="6" t="s">
        <v>70</v>
      </c>
      <c r="F15" s="9" t="s">
        <v>38</v>
      </c>
      <c r="G15" s="10"/>
      <c r="H15" s="10"/>
      <c r="I15" s="6"/>
    </row>
    <row r="16" customFormat="false" ht="30" hidden="false" customHeight="true" outlineLevel="0" collapsed="false">
      <c r="A16" s="5" t="n">
        <v>15</v>
      </c>
      <c r="B16" s="5" t="s">
        <v>71</v>
      </c>
      <c r="C16" s="5" t="s">
        <v>30</v>
      </c>
      <c r="D16" s="6" t="s">
        <v>72</v>
      </c>
      <c r="E16" s="6" t="s">
        <v>73</v>
      </c>
      <c r="F16" s="9" t="s">
        <v>38</v>
      </c>
      <c r="G16" s="10"/>
      <c r="H16" s="10"/>
      <c r="I16" s="6"/>
    </row>
    <row r="17" customFormat="false" ht="30" hidden="false" customHeight="true" outlineLevel="0" collapsed="false">
      <c r="A17" s="5" t="n">
        <v>16</v>
      </c>
      <c r="B17" s="5" t="s">
        <v>74</v>
      </c>
      <c r="C17" s="5" t="s">
        <v>30</v>
      </c>
      <c r="D17" s="6" t="s">
        <v>75</v>
      </c>
      <c r="E17" s="6" t="s">
        <v>76</v>
      </c>
      <c r="F17" s="9" t="s">
        <v>38</v>
      </c>
      <c r="G17" s="10"/>
      <c r="H17" s="10"/>
      <c r="I17" s="6"/>
    </row>
    <row r="18" customFormat="false" ht="30" hidden="false" customHeight="true" outlineLevel="0" collapsed="false">
      <c r="A18" s="5" t="n">
        <v>17</v>
      </c>
      <c r="B18" s="5" t="s">
        <v>77</v>
      </c>
      <c r="C18" s="5" t="s">
        <v>30</v>
      </c>
      <c r="D18" s="6" t="s">
        <v>78</v>
      </c>
      <c r="E18" s="6" t="s">
        <v>79</v>
      </c>
      <c r="F18" s="9" t="s">
        <v>38</v>
      </c>
      <c r="G18" s="10"/>
      <c r="H18" s="10"/>
      <c r="I18" s="6"/>
    </row>
    <row r="19" customFormat="false" ht="30" hidden="false" customHeight="true" outlineLevel="0" collapsed="false">
      <c r="A19" s="5" t="n">
        <v>18</v>
      </c>
      <c r="B19" s="5" t="s">
        <v>80</v>
      </c>
      <c r="C19" s="5" t="s">
        <v>30</v>
      </c>
      <c r="D19" s="6" t="s">
        <v>81</v>
      </c>
      <c r="E19" s="6" t="s">
        <v>82</v>
      </c>
      <c r="F19" s="9" t="s">
        <v>38</v>
      </c>
      <c r="G19" s="10"/>
      <c r="H19" s="10"/>
      <c r="I19" s="6"/>
    </row>
    <row r="20" customFormat="false" ht="30" hidden="false" customHeight="true" outlineLevel="0" collapsed="false">
      <c r="A20" s="5" t="n">
        <v>19</v>
      </c>
      <c r="B20" s="5" t="s">
        <v>65</v>
      </c>
      <c r="C20" s="5" t="s">
        <v>30</v>
      </c>
      <c r="D20" s="6" t="s">
        <v>83</v>
      </c>
      <c r="E20" s="6" t="s">
        <v>84</v>
      </c>
      <c r="F20" s="9" t="s">
        <v>38</v>
      </c>
      <c r="G20" s="10"/>
      <c r="H20" s="10"/>
      <c r="I20" s="6"/>
    </row>
    <row r="21" customFormat="false" ht="30" hidden="false" customHeight="true" outlineLevel="0" collapsed="false">
      <c r="A21" s="5" t="n">
        <v>20</v>
      </c>
      <c r="B21" s="5" t="s">
        <v>85</v>
      </c>
      <c r="C21" s="5" t="s">
        <v>30</v>
      </c>
      <c r="D21" s="6" t="s">
        <v>86</v>
      </c>
      <c r="E21" s="6" t="s">
        <v>87</v>
      </c>
      <c r="F21" s="9" t="s">
        <v>38</v>
      </c>
      <c r="G21" s="10"/>
      <c r="H21" s="10"/>
      <c r="I21" s="6"/>
    </row>
    <row r="22" customFormat="false" ht="30" hidden="false" customHeight="true" outlineLevel="0" collapsed="false">
      <c r="A22" s="5" t="n">
        <v>21</v>
      </c>
      <c r="B22" s="5" t="s">
        <v>88</v>
      </c>
      <c r="C22" s="5" t="s">
        <v>30</v>
      </c>
      <c r="D22" s="6" t="s">
        <v>89</v>
      </c>
      <c r="E22" s="6" t="s">
        <v>90</v>
      </c>
      <c r="F22" s="9" t="s">
        <v>38</v>
      </c>
      <c r="G22" s="10"/>
      <c r="H22" s="10"/>
      <c r="I22" s="6"/>
    </row>
    <row r="23" customFormat="false" ht="30" hidden="false" customHeight="true" outlineLevel="0" collapsed="false">
      <c r="A23" s="5" t="n">
        <v>22</v>
      </c>
      <c r="B23" s="5" t="s">
        <v>91</v>
      </c>
      <c r="C23" s="5" t="s">
        <v>30</v>
      </c>
      <c r="D23" s="6" t="s">
        <v>92</v>
      </c>
      <c r="E23" s="6" t="s">
        <v>93</v>
      </c>
      <c r="F23" s="9" t="s">
        <v>38</v>
      </c>
      <c r="G23" s="10"/>
      <c r="H23" s="10"/>
      <c r="I23" s="6"/>
    </row>
    <row r="24" customFormat="false" ht="30" hidden="false" customHeight="true" outlineLevel="0" collapsed="false">
      <c r="A24" s="5" t="n">
        <v>23</v>
      </c>
      <c r="B24" s="5" t="s">
        <v>94</v>
      </c>
      <c r="C24" s="5" t="s">
        <v>30</v>
      </c>
      <c r="D24" s="6" t="s">
        <v>95</v>
      </c>
      <c r="E24" s="6" t="s">
        <v>96</v>
      </c>
      <c r="F24" s="9" t="s">
        <v>38</v>
      </c>
      <c r="G24" s="10"/>
      <c r="H24" s="10"/>
      <c r="I24" s="6"/>
    </row>
    <row r="25" customFormat="false" ht="30" hidden="false" customHeight="true" outlineLevel="0" collapsed="false">
      <c r="A25" s="5" t="n">
        <v>24</v>
      </c>
      <c r="B25" s="5" t="s">
        <v>97</v>
      </c>
      <c r="C25" s="5" t="s">
        <v>30</v>
      </c>
      <c r="D25" s="6" t="s">
        <v>98</v>
      </c>
      <c r="E25" s="6" t="s">
        <v>99</v>
      </c>
      <c r="F25" s="9" t="s">
        <v>38</v>
      </c>
      <c r="G25" s="10"/>
      <c r="H25" s="10"/>
      <c r="I25" s="6"/>
    </row>
    <row r="26" customFormat="false" ht="30" hidden="false" customHeight="true" outlineLevel="0" collapsed="false">
      <c r="A26" s="5" t="n">
        <v>25</v>
      </c>
      <c r="B26" s="5" t="s">
        <v>100</v>
      </c>
      <c r="C26" s="5" t="s">
        <v>30</v>
      </c>
      <c r="D26" s="6" t="s">
        <v>101</v>
      </c>
      <c r="E26" s="6" t="s">
        <v>102</v>
      </c>
      <c r="F26" s="9" t="s">
        <v>38</v>
      </c>
      <c r="G26" s="10"/>
      <c r="H26" s="10"/>
      <c r="I26" s="6"/>
    </row>
    <row r="27" customFormat="false" ht="30" hidden="false" customHeight="true" outlineLevel="0" collapsed="false">
      <c r="A27" s="5" t="n">
        <v>26</v>
      </c>
      <c r="B27" s="5" t="s">
        <v>103</v>
      </c>
      <c r="C27" s="5" t="s">
        <v>30</v>
      </c>
      <c r="D27" s="6" t="s">
        <v>104</v>
      </c>
      <c r="E27" s="6" t="s">
        <v>105</v>
      </c>
      <c r="F27" s="9" t="s">
        <v>38</v>
      </c>
      <c r="G27" s="10"/>
      <c r="H27" s="10"/>
      <c r="I27" s="6"/>
    </row>
    <row r="28" customFormat="false" ht="30" hidden="false" customHeight="true" outlineLevel="0" collapsed="false">
      <c r="A28" s="5" t="n">
        <v>27</v>
      </c>
      <c r="B28" s="5" t="s">
        <v>106</v>
      </c>
      <c r="C28" s="5" t="s">
        <v>30</v>
      </c>
      <c r="D28" s="6" t="s">
        <v>107</v>
      </c>
      <c r="E28" s="6" t="s">
        <v>108</v>
      </c>
      <c r="F28" s="9" t="s">
        <v>38</v>
      </c>
      <c r="G28" s="10"/>
      <c r="H28" s="10"/>
      <c r="I28" s="6"/>
    </row>
    <row r="29" customFormat="false" ht="30" hidden="false" customHeight="true" outlineLevel="0" collapsed="false">
      <c r="A29" s="5" t="n">
        <v>28</v>
      </c>
      <c r="B29" s="5" t="s">
        <v>109</v>
      </c>
      <c r="C29" s="5" t="s">
        <v>30</v>
      </c>
      <c r="D29" s="6" t="s">
        <v>110</v>
      </c>
      <c r="E29" s="6" t="s">
        <v>111</v>
      </c>
      <c r="F29" s="9" t="s">
        <v>38</v>
      </c>
      <c r="G29" s="10"/>
      <c r="H29" s="10"/>
      <c r="I29" s="6"/>
    </row>
    <row r="30" customFormat="false" ht="30" hidden="false" customHeight="true" outlineLevel="0" collapsed="false">
      <c r="A30" s="5" t="n">
        <v>29</v>
      </c>
      <c r="B30" s="5" t="s">
        <v>112</v>
      </c>
      <c r="C30" s="5" t="s">
        <v>30</v>
      </c>
      <c r="D30" s="6" t="s">
        <v>113</v>
      </c>
      <c r="E30" s="6" t="s">
        <v>114</v>
      </c>
      <c r="F30" s="9" t="s">
        <v>38</v>
      </c>
      <c r="G30" s="10"/>
      <c r="H30" s="10"/>
      <c r="I30" s="6"/>
    </row>
    <row r="31" customFormat="false" ht="30" hidden="false" customHeight="true" outlineLevel="0" collapsed="false">
      <c r="A31" s="5" t="n">
        <v>30</v>
      </c>
      <c r="B31" s="5" t="s">
        <v>115</v>
      </c>
      <c r="C31" s="5" t="s">
        <v>30</v>
      </c>
      <c r="D31" s="6" t="s">
        <v>116</v>
      </c>
      <c r="E31" s="6" t="s">
        <v>117</v>
      </c>
      <c r="F31" s="9" t="s">
        <v>38</v>
      </c>
      <c r="G31" s="10"/>
      <c r="H31" s="10"/>
      <c r="I31" s="6"/>
    </row>
    <row r="32" customFormat="false" ht="30" hidden="false" customHeight="true" outlineLevel="0" collapsed="false">
      <c r="A32" s="5" t="n">
        <v>31</v>
      </c>
      <c r="B32" s="5" t="s">
        <v>118</v>
      </c>
      <c r="C32" s="5" t="s">
        <v>30</v>
      </c>
      <c r="D32" s="6" t="s">
        <v>119</v>
      </c>
      <c r="E32" s="6" t="s">
        <v>120</v>
      </c>
      <c r="F32" s="9" t="s">
        <v>38</v>
      </c>
      <c r="G32" s="10"/>
      <c r="H32" s="10"/>
      <c r="I32" s="6"/>
    </row>
    <row r="33" customFormat="false" ht="30" hidden="false" customHeight="true" outlineLevel="0" collapsed="false">
      <c r="A33" s="5" t="n">
        <v>32</v>
      </c>
      <c r="B33" s="5" t="s">
        <v>121</v>
      </c>
      <c r="C33" s="5" t="s">
        <v>30</v>
      </c>
      <c r="D33" s="6" t="s">
        <v>122</v>
      </c>
      <c r="E33" s="6" t="s">
        <v>123</v>
      </c>
      <c r="F33" s="9" t="s">
        <v>38</v>
      </c>
      <c r="G33" s="10"/>
      <c r="H33" s="10"/>
      <c r="I33" s="6"/>
    </row>
    <row r="34" customFormat="false" ht="30" hidden="false" customHeight="true" outlineLevel="0" collapsed="false">
      <c r="A34" s="5" t="n">
        <v>33</v>
      </c>
      <c r="B34" s="5" t="s">
        <v>124</v>
      </c>
      <c r="C34" s="5" t="s">
        <v>30</v>
      </c>
      <c r="D34" s="6" t="s">
        <v>125</v>
      </c>
      <c r="E34" s="6" t="s">
        <v>126</v>
      </c>
      <c r="F34" s="9" t="s">
        <v>38</v>
      </c>
      <c r="G34" s="10"/>
      <c r="H34" s="10"/>
      <c r="I34" s="6"/>
    </row>
    <row r="35" customFormat="false" ht="30" hidden="false" customHeight="true" outlineLevel="0" collapsed="false">
      <c r="A35" s="5" t="n">
        <v>34</v>
      </c>
      <c r="B35" s="5" t="s">
        <v>127</v>
      </c>
      <c r="C35" s="5" t="s">
        <v>30</v>
      </c>
      <c r="D35" s="6" t="s">
        <v>128</v>
      </c>
      <c r="E35" s="6" t="s">
        <v>129</v>
      </c>
      <c r="F35" s="9" t="s">
        <v>38</v>
      </c>
      <c r="G35" s="10"/>
      <c r="H35" s="10"/>
      <c r="I35" s="6"/>
    </row>
    <row r="36" customFormat="false" ht="30" hidden="false" customHeight="true" outlineLevel="0" collapsed="false">
      <c r="A36" s="5" t="n">
        <v>35</v>
      </c>
      <c r="B36" s="5" t="s">
        <v>130</v>
      </c>
      <c r="C36" s="5" t="s">
        <v>30</v>
      </c>
      <c r="D36" s="6" t="s">
        <v>131</v>
      </c>
      <c r="E36" s="6" t="s">
        <v>132</v>
      </c>
      <c r="F36" s="9" t="s">
        <v>38</v>
      </c>
      <c r="G36" s="10"/>
      <c r="H36" s="10"/>
      <c r="I36" s="6"/>
    </row>
    <row r="37" customFormat="false" ht="30" hidden="false" customHeight="true" outlineLevel="0" collapsed="false">
      <c r="A37" s="5" t="n">
        <v>36</v>
      </c>
      <c r="B37" s="5" t="s">
        <v>133</v>
      </c>
      <c r="C37" s="5" t="s">
        <v>30</v>
      </c>
      <c r="D37" s="6" t="s">
        <v>134</v>
      </c>
      <c r="E37" s="6" t="s">
        <v>135</v>
      </c>
      <c r="F37" s="9" t="s">
        <v>38</v>
      </c>
      <c r="G37" s="10"/>
      <c r="H37" s="10"/>
      <c r="I37" s="6"/>
    </row>
    <row r="38" customFormat="false" ht="30" hidden="false" customHeight="true" outlineLevel="0" collapsed="false">
      <c r="A38" s="5" t="n">
        <v>37</v>
      </c>
      <c r="B38" s="5" t="s">
        <v>136</v>
      </c>
      <c r="C38" s="5" t="s">
        <v>30</v>
      </c>
      <c r="D38" s="6" t="s">
        <v>137</v>
      </c>
      <c r="E38" s="6" t="s">
        <v>138</v>
      </c>
      <c r="F38" s="9" t="s">
        <v>38</v>
      </c>
      <c r="G38" s="10"/>
      <c r="H38" s="10"/>
      <c r="I38" s="6"/>
    </row>
    <row r="39" customFormat="false" ht="30" hidden="false" customHeight="true" outlineLevel="0" collapsed="false">
      <c r="A39" s="5" t="n">
        <v>38</v>
      </c>
      <c r="B39" s="5" t="s">
        <v>112</v>
      </c>
      <c r="C39" s="5" t="s">
        <v>30</v>
      </c>
      <c r="D39" s="6" t="s">
        <v>139</v>
      </c>
      <c r="E39" s="6" t="s">
        <v>140</v>
      </c>
      <c r="F39" s="9" t="s">
        <v>38</v>
      </c>
      <c r="G39" s="10"/>
      <c r="H39" s="10"/>
      <c r="I39" s="6"/>
    </row>
    <row r="40" customFormat="false" ht="30" hidden="false" customHeight="true" outlineLevel="0" collapsed="false">
      <c r="A40" s="5" t="n">
        <v>39</v>
      </c>
      <c r="B40" s="5" t="s">
        <v>141</v>
      </c>
      <c r="C40" s="5" t="s">
        <v>30</v>
      </c>
      <c r="D40" s="6" t="s">
        <v>142</v>
      </c>
      <c r="E40" s="6" t="s">
        <v>143</v>
      </c>
      <c r="F40" s="9" t="s">
        <v>38</v>
      </c>
      <c r="G40" s="10"/>
      <c r="H40" s="10"/>
      <c r="I40" s="6"/>
    </row>
    <row r="41" customFormat="false" ht="30" hidden="false" customHeight="true" outlineLevel="0" collapsed="false">
      <c r="A41" s="5" t="n">
        <v>40</v>
      </c>
      <c r="B41" s="5" t="s">
        <v>144</v>
      </c>
      <c r="C41" s="5" t="s">
        <v>30</v>
      </c>
      <c r="D41" s="6" t="s">
        <v>145</v>
      </c>
      <c r="E41" s="6" t="s">
        <v>146</v>
      </c>
      <c r="F41" s="9" t="s">
        <v>38</v>
      </c>
      <c r="G41" s="10"/>
      <c r="H41" s="10"/>
      <c r="I41" s="6"/>
    </row>
    <row r="42" customFormat="false" ht="30" hidden="false" customHeight="true" outlineLevel="0" collapsed="false">
      <c r="A42" s="5" t="n">
        <v>41</v>
      </c>
      <c r="B42" s="5" t="s">
        <v>147</v>
      </c>
      <c r="C42" s="5" t="s">
        <v>30</v>
      </c>
      <c r="D42" s="6" t="s">
        <v>148</v>
      </c>
      <c r="E42" s="6" t="s">
        <v>149</v>
      </c>
      <c r="F42" s="9" t="s">
        <v>38</v>
      </c>
      <c r="G42" s="10"/>
      <c r="H42" s="10"/>
      <c r="I42" s="6"/>
    </row>
    <row r="43" customFormat="false" ht="30" hidden="false" customHeight="true" outlineLevel="0" collapsed="false">
      <c r="A43" s="5" t="n">
        <v>42</v>
      </c>
      <c r="B43" s="5" t="s">
        <v>106</v>
      </c>
      <c r="C43" s="5" t="s">
        <v>30</v>
      </c>
      <c r="D43" s="6" t="s">
        <v>150</v>
      </c>
      <c r="E43" s="6" t="s">
        <v>151</v>
      </c>
      <c r="F43" s="9" t="s">
        <v>38</v>
      </c>
      <c r="G43" s="10"/>
      <c r="H43" s="10"/>
      <c r="I43" s="6"/>
    </row>
    <row r="44" customFormat="false" ht="30" hidden="false" customHeight="true" outlineLevel="0" collapsed="false">
      <c r="A44" s="5" t="n">
        <v>43</v>
      </c>
      <c r="B44" s="5" t="s">
        <v>152</v>
      </c>
      <c r="C44" s="5" t="s">
        <v>30</v>
      </c>
      <c r="D44" s="6" t="s">
        <v>153</v>
      </c>
      <c r="E44" s="6" t="s">
        <v>154</v>
      </c>
      <c r="F44" s="9" t="s">
        <v>38</v>
      </c>
      <c r="G44" s="10"/>
      <c r="H44" s="10"/>
      <c r="I44" s="6"/>
    </row>
    <row r="45" customFormat="false" ht="30" hidden="false" customHeight="true" outlineLevel="0" collapsed="false">
      <c r="A45" s="5" t="n">
        <v>44</v>
      </c>
      <c r="B45" s="5" t="s">
        <v>155</v>
      </c>
      <c r="C45" s="5" t="s">
        <v>30</v>
      </c>
      <c r="D45" s="6" t="s">
        <v>156</v>
      </c>
      <c r="E45" s="6" t="s">
        <v>157</v>
      </c>
      <c r="F45" s="9" t="s">
        <v>38</v>
      </c>
      <c r="G45" s="10"/>
      <c r="H45" s="10"/>
      <c r="I45" s="6"/>
    </row>
    <row r="46" customFormat="false" ht="30" hidden="false" customHeight="true" outlineLevel="0" collapsed="false">
      <c r="A46" s="5" t="n">
        <v>45</v>
      </c>
      <c r="B46" s="5" t="s">
        <v>158</v>
      </c>
      <c r="C46" s="5" t="s">
        <v>30</v>
      </c>
      <c r="D46" s="6" t="s">
        <v>159</v>
      </c>
      <c r="E46" s="6" t="s">
        <v>160</v>
      </c>
      <c r="F46" s="9" t="s">
        <v>38</v>
      </c>
      <c r="G46" s="10"/>
      <c r="H46" s="10"/>
      <c r="I46" s="6"/>
    </row>
    <row r="47" customFormat="false" ht="30" hidden="false" customHeight="true" outlineLevel="0" collapsed="false">
      <c r="A47" s="5" t="n">
        <v>46</v>
      </c>
      <c r="B47" s="5" t="s">
        <v>161</v>
      </c>
      <c r="C47" s="5" t="s">
        <v>30</v>
      </c>
      <c r="D47" s="6" t="s">
        <v>162</v>
      </c>
      <c r="E47" s="6" t="s">
        <v>163</v>
      </c>
      <c r="F47" s="9" t="s">
        <v>38</v>
      </c>
      <c r="G47" s="10"/>
      <c r="H47" s="10"/>
      <c r="I47" s="6"/>
    </row>
    <row r="48" customFormat="false" ht="30" hidden="false" customHeight="true" outlineLevel="0" collapsed="false">
      <c r="A48" s="5" t="n">
        <v>47</v>
      </c>
      <c r="B48" s="5" t="s">
        <v>164</v>
      </c>
      <c r="C48" s="5" t="s">
        <v>30</v>
      </c>
      <c r="D48" s="6" t="s">
        <v>165</v>
      </c>
      <c r="E48" s="6" t="s">
        <v>166</v>
      </c>
      <c r="F48" s="9" t="s">
        <v>38</v>
      </c>
      <c r="G48" s="10"/>
      <c r="H48" s="10"/>
      <c r="I48" s="6"/>
    </row>
    <row r="49" customFormat="false" ht="30" hidden="false" customHeight="true" outlineLevel="0" collapsed="false">
      <c r="A49" s="5" t="n">
        <v>48</v>
      </c>
      <c r="B49" s="5" t="s">
        <v>167</v>
      </c>
      <c r="C49" s="5" t="s">
        <v>30</v>
      </c>
      <c r="D49" s="6" t="s">
        <v>168</v>
      </c>
      <c r="E49" s="6" t="s">
        <v>169</v>
      </c>
      <c r="F49" s="9" t="s">
        <v>38</v>
      </c>
      <c r="G49" s="10"/>
      <c r="H49" s="10"/>
      <c r="I49" s="6"/>
    </row>
    <row r="50" customFormat="false" ht="30" hidden="false" customHeight="true" outlineLevel="0" collapsed="false">
      <c r="A50" s="5" t="n">
        <v>49</v>
      </c>
      <c r="B50" s="5" t="s">
        <v>170</v>
      </c>
      <c r="C50" s="5" t="s">
        <v>30</v>
      </c>
      <c r="D50" s="6" t="s">
        <v>171</v>
      </c>
      <c r="E50" s="6" t="s">
        <v>172</v>
      </c>
      <c r="F50" s="9" t="s">
        <v>38</v>
      </c>
      <c r="G50" s="10"/>
      <c r="H50" s="10"/>
      <c r="I50" s="6"/>
    </row>
    <row r="51" customFormat="false" ht="30" hidden="false" customHeight="true" outlineLevel="0" collapsed="false">
      <c r="A51" s="5" t="n">
        <v>50</v>
      </c>
      <c r="B51" s="5" t="s">
        <v>173</v>
      </c>
      <c r="C51" s="5" t="s">
        <v>30</v>
      </c>
      <c r="D51" s="6" t="s">
        <v>174</v>
      </c>
      <c r="E51" s="6" t="s">
        <v>175</v>
      </c>
      <c r="F51" s="9" t="s">
        <v>38</v>
      </c>
      <c r="G51" s="10"/>
      <c r="H51" s="10"/>
      <c r="I51" s="6"/>
    </row>
    <row r="52" customFormat="false" ht="30" hidden="false" customHeight="true" outlineLevel="0" collapsed="false">
      <c r="A52" s="5" t="n">
        <v>51</v>
      </c>
      <c r="B52" s="5" t="s">
        <v>176</v>
      </c>
      <c r="C52" s="5" t="s">
        <v>30</v>
      </c>
      <c r="D52" s="6" t="s">
        <v>177</v>
      </c>
      <c r="E52" s="6" t="s">
        <v>178</v>
      </c>
      <c r="F52" s="9" t="s">
        <v>38</v>
      </c>
      <c r="G52" s="10"/>
      <c r="H52" s="10"/>
      <c r="I52" s="6"/>
    </row>
    <row r="53" customFormat="false" ht="30" hidden="false" customHeight="true" outlineLevel="0" collapsed="false">
      <c r="A53" s="5" t="n">
        <v>52</v>
      </c>
      <c r="B53" s="5" t="s">
        <v>179</v>
      </c>
      <c r="C53" s="5" t="s">
        <v>30</v>
      </c>
      <c r="D53" s="6" t="s">
        <v>180</v>
      </c>
      <c r="E53" s="6" t="s">
        <v>181</v>
      </c>
      <c r="F53" s="9" t="s">
        <v>38</v>
      </c>
      <c r="G53" s="10"/>
      <c r="H53" s="10"/>
      <c r="I53" s="6"/>
    </row>
    <row r="54" customFormat="false" ht="30" hidden="false" customHeight="true" outlineLevel="0" collapsed="false">
      <c r="A54" s="5" t="n">
        <v>53</v>
      </c>
      <c r="B54" s="5" t="s">
        <v>182</v>
      </c>
      <c r="C54" s="5" t="s">
        <v>30</v>
      </c>
      <c r="D54" s="6" t="s">
        <v>183</v>
      </c>
      <c r="E54" s="6" t="s">
        <v>184</v>
      </c>
      <c r="F54" s="9" t="s">
        <v>38</v>
      </c>
      <c r="G54" s="10"/>
      <c r="H54" s="10"/>
      <c r="I54" s="6"/>
    </row>
    <row r="55" customFormat="false" ht="30" hidden="false" customHeight="true" outlineLevel="0" collapsed="false">
      <c r="A55" s="5" t="n">
        <v>54</v>
      </c>
      <c r="B55" s="5" t="s">
        <v>185</v>
      </c>
      <c r="C55" s="5" t="s">
        <v>30</v>
      </c>
      <c r="D55" s="6" t="s">
        <v>186</v>
      </c>
      <c r="E55" s="6" t="s">
        <v>187</v>
      </c>
      <c r="F55" s="9" t="s">
        <v>38</v>
      </c>
      <c r="G55" s="10"/>
      <c r="H55" s="10"/>
      <c r="I55" s="6"/>
    </row>
    <row r="56" customFormat="false" ht="30" hidden="false" customHeight="true" outlineLevel="0" collapsed="false">
      <c r="A56" s="5" t="n">
        <v>55</v>
      </c>
      <c r="B56" s="5" t="s">
        <v>188</v>
      </c>
      <c r="C56" s="5" t="s">
        <v>30</v>
      </c>
      <c r="D56" s="6" t="s">
        <v>189</v>
      </c>
      <c r="E56" s="6" t="s">
        <v>190</v>
      </c>
      <c r="F56" s="9" t="s">
        <v>38</v>
      </c>
      <c r="G56" s="10"/>
      <c r="H56" s="10"/>
      <c r="I56" s="6"/>
    </row>
    <row r="57" customFormat="false" ht="30" hidden="false" customHeight="true" outlineLevel="0" collapsed="false">
      <c r="A57" s="5" t="n">
        <v>56</v>
      </c>
      <c r="B57" s="5" t="s">
        <v>191</v>
      </c>
      <c r="C57" s="5" t="s">
        <v>30</v>
      </c>
      <c r="D57" s="6" t="s">
        <v>192</v>
      </c>
      <c r="E57" s="6" t="s">
        <v>193</v>
      </c>
      <c r="F57" s="9" t="s">
        <v>38</v>
      </c>
      <c r="G57" s="10"/>
      <c r="H57" s="10"/>
      <c r="I57" s="6"/>
    </row>
    <row r="58" customFormat="false" ht="30" hidden="false" customHeight="true" outlineLevel="0" collapsed="false">
      <c r="A58" s="5" t="n">
        <v>57</v>
      </c>
      <c r="B58" s="5" t="s">
        <v>194</v>
      </c>
      <c r="C58" s="5" t="s">
        <v>30</v>
      </c>
      <c r="D58" s="6" t="s">
        <v>195</v>
      </c>
      <c r="E58" s="6" t="s">
        <v>196</v>
      </c>
      <c r="F58" s="9" t="s">
        <v>38</v>
      </c>
      <c r="G58" s="10"/>
      <c r="H58" s="10"/>
      <c r="I58" s="6"/>
    </row>
    <row r="59" customFormat="false" ht="30" hidden="false" customHeight="true" outlineLevel="0" collapsed="false">
      <c r="A59" s="5" t="n">
        <v>58</v>
      </c>
      <c r="B59" s="5" t="s">
        <v>197</v>
      </c>
      <c r="C59" s="5" t="s">
        <v>30</v>
      </c>
      <c r="D59" s="6" t="s">
        <v>198</v>
      </c>
      <c r="E59" s="6" t="s">
        <v>199</v>
      </c>
      <c r="F59" s="9" t="s">
        <v>38</v>
      </c>
      <c r="G59" s="10"/>
      <c r="H59" s="10"/>
      <c r="I59" s="6"/>
    </row>
    <row r="60" customFormat="false" ht="30" hidden="false" customHeight="true" outlineLevel="0" collapsed="false">
      <c r="A60" s="5" t="n">
        <v>59</v>
      </c>
      <c r="B60" s="5" t="s">
        <v>200</v>
      </c>
      <c r="C60" s="5" t="s">
        <v>30</v>
      </c>
      <c r="D60" s="6" t="s">
        <v>201</v>
      </c>
      <c r="E60" s="6" t="s">
        <v>202</v>
      </c>
      <c r="F60" s="9" t="s">
        <v>38</v>
      </c>
      <c r="G60" s="10"/>
      <c r="H60" s="10"/>
      <c r="I60" s="6"/>
    </row>
    <row r="61" customFormat="false" ht="30" hidden="false" customHeight="true" outlineLevel="0" collapsed="false">
      <c r="A61" s="5" t="n">
        <v>60</v>
      </c>
      <c r="B61" s="5" t="s">
        <v>203</v>
      </c>
      <c r="C61" s="5" t="s">
        <v>30</v>
      </c>
      <c r="D61" s="6" t="s">
        <v>204</v>
      </c>
      <c r="E61" s="6" t="s">
        <v>205</v>
      </c>
      <c r="F61" s="9" t="s">
        <v>38</v>
      </c>
      <c r="G61" s="10"/>
      <c r="H61" s="10"/>
      <c r="I61" s="6"/>
    </row>
    <row r="62" customFormat="false" ht="30" hidden="false" customHeight="true" outlineLevel="0" collapsed="false">
      <c r="A62" s="5" t="n">
        <v>61</v>
      </c>
      <c r="B62" s="5" t="s">
        <v>206</v>
      </c>
      <c r="C62" s="5" t="s">
        <v>30</v>
      </c>
      <c r="D62" s="6" t="s">
        <v>207</v>
      </c>
      <c r="E62" s="6" t="s">
        <v>208</v>
      </c>
      <c r="F62" s="9" t="s">
        <v>38</v>
      </c>
      <c r="G62" s="10"/>
      <c r="H62" s="10"/>
      <c r="I62" s="6"/>
    </row>
    <row r="63" customFormat="false" ht="30" hidden="false" customHeight="true" outlineLevel="0" collapsed="false">
      <c r="A63" s="5" t="n">
        <v>62</v>
      </c>
      <c r="B63" s="5" t="s">
        <v>209</v>
      </c>
      <c r="C63" s="5" t="s">
        <v>30</v>
      </c>
      <c r="D63" s="6" t="s">
        <v>210</v>
      </c>
      <c r="E63" s="6" t="s">
        <v>211</v>
      </c>
      <c r="F63" s="9" t="s">
        <v>38</v>
      </c>
      <c r="G63" s="10"/>
      <c r="H63" s="10"/>
      <c r="I63" s="6"/>
    </row>
    <row r="64" customFormat="false" ht="30" hidden="false" customHeight="true" outlineLevel="0" collapsed="false">
      <c r="A64" s="5" t="n">
        <v>63</v>
      </c>
      <c r="B64" s="5" t="s">
        <v>212</v>
      </c>
      <c r="C64" s="5" t="s">
        <v>30</v>
      </c>
      <c r="D64" s="6" t="s">
        <v>213</v>
      </c>
      <c r="E64" s="6" t="s">
        <v>214</v>
      </c>
      <c r="F64" s="9" t="s">
        <v>38</v>
      </c>
      <c r="G64" s="10"/>
      <c r="H64" s="10"/>
      <c r="I64" s="6"/>
    </row>
    <row r="65" customFormat="false" ht="30" hidden="false" customHeight="true" outlineLevel="0" collapsed="false">
      <c r="A65" s="5" t="n">
        <v>64</v>
      </c>
      <c r="B65" s="5" t="s">
        <v>215</v>
      </c>
      <c r="C65" s="5" t="s">
        <v>30</v>
      </c>
      <c r="D65" s="6" t="s">
        <v>216</v>
      </c>
      <c r="E65" s="6" t="s">
        <v>217</v>
      </c>
      <c r="F65" s="9" t="s">
        <v>38</v>
      </c>
      <c r="G65" s="10"/>
      <c r="H65" s="10"/>
      <c r="I65" s="6"/>
    </row>
    <row r="66" customFormat="false" ht="30" hidden="false" customHeight="true" outlineLevel="0" collapsed="false">
      <c r="A66" s="5" t="n">
        <v>65</v>
      </c>
      <c r="B66" s="5" t="s">
        <v>218</v>
      </c>
      <c r="C66" s="5" t="s">
        <v>30</v>
      </c>
      <c r="D66" s="6" t="s">
        <v>219</v>
      </c>
      <c r="E66" s="6" t="s">
        <v>220</v>
      </c>
      <c r="F66" s="9" t="s">
        <v>38</v>
      </c>
      <c r="G66" s="10"/>
      <c r="H66" s="10"/>
      <c r="I66" s="6"/>
    </row>
    <row r="67" customFormat="false" ht="30" hidden="false" customHeight="true" outlineLevel="0" collapsed="false">
      <c r="A67" s="5" t="n">
        <v>66</v>
      </c>
      <c r="B67" s="5" t="s">
        <v>221</v>
      </c>
      <c r="C67" s="5" t="s">
        <v>30</v>
      </c>
      <c r="D67" s="6" t="s">
        <v>222</v>
      </c>
      <c r="E67" s="6" t="s">
        <v>223</v>
      </c>
      <c r="F67" s="9" t="s">
        <v>38</v>
      </c>
      <c r="G67" s="10"/>
      <c r="H67" s="10"/>
      <c r="I67" s="6"/>
    </row>
    <row r="68" customFormat="false" ht="30" hidden="false" customHeight="true" outlineLevel="0" collapsed="false">
      <c r="A68" s="5" t="n">
        <v>67</v>
      </c>
      <c r="B68" s="5" t="s">
        <v>224</v>
      </c>
      <c r="C68" s="5" t="s">
        <v>30</v>
      </c>
      <c r="D68" s="6" t="s">
        <v>225</v>
      </c>
      <c r="E68" s="6" t="s">
        <v>226</v>
      </c>
      <c r="F68" s="9" t="s">
        <v>38</v>
      </c>
      <c r="G68" s="10"/>
      <c r="H68" s="10"/>
      <c r="I68" s="6"/>
    </row>
    <row r="69" customFormat="false" ht="30" hidden="false" customHeight="true" outlineLevel="0" collapsed="false">
      <c r="A69" s="5" t="n">
        <v>68</v>
      </c>
      <c r="B69" s="5" t="s">
        <v>227</v>
      </c>
      <c r="C69" s="5" t="s">
        <v>30</v>
      </c>
      <c r="D69" s="6" t="s">
        <v>228</v>
      </c>
      <c r="E69" s="6" t="s">
        <v>229</v>
      </c>
      <c r="F69" s="9" t="s">
        <v>38</v>
      </c>
      <c r="G69" s="10"/>
      <c r="H69" s="10"/>
      <c r="I69" s="6"/>
    </row>
    <row r="70" customFormat="false" ht="30" hidden="false" customHeight="true" outlineLevel="0" collapsed="false">
      <c r="A70" s="5" t="n">
        <v>69</v>
      </c>
      <c r="B70" s="5" t="s">
        <v>230</v>
      </c>
      <c r="C70" s="5" t="s">
        <v>30</v>
      </c>
      <c r="D70" s="6" t="s">
        <v>231</v>
      </c>
      <c r="E70" s="6" t="s">
        <v>232</v>
      </c>
      <c r="F70" s="9" t="s">
        <v>38</v>
      </c>
      <c r="G70" s="10"/>
      <c r="H70" s="10"/>
      <c r="I70" s="6"/>
    </row>
    <row r="71" customFormat="false" ht="30" hidden="false" customHeight="true" outlineLevel="0" collapsed="false">
      <c r="A71" s="5" t="n">
        <v>70</v>
      </c>
      <c r="B71" s="5" t="s">
        <v>233</v>
      </c>
      <c r="C71" s="5" t="s">
        <v>30</v>
      </c>
      <c r="D71" s="6" t="s">
        <v>234</v>
      </c>
      <c r="E71" s="6" t="s">
        <v>235</v>
      </c>
      <c r="F71" s="9" t="s">
        <v>38</v>
      </c>
      <c r="G71" s="10"/>
      <c r="H71" s="10"/>
      <c r="I71" s="6"/>
    </row>
    <row r="72" customFormat="false" ht="30" hidden="false" customHeight="true" outlineLevel="0" collapsed="false">
      <c r="A72" s="5" t="n">
        <v>71</v>
      </c>
      <c r="B72" s="5" t="s">
        <v>236</v>
      </c>
      <c r="C72" s="5" t="s">
        <v>30</v>
      </c>
      <c r="D72" s="6" t="s">
        <v>237</v>
      </c>
      <c r="E72" s="6" t="s">
        <v>238</v>
      </c>
      <c r="F72" s="9" t="s">
        <v>38</v>
      </c>
      <c r="G72" s="10"/>
      <c r="H72" s="10"/>
      <c r="I72" s="6"/>
    </row>
    <row r="73" customFormat="false" ht="30" hidden="false" customHeight="true" outlineLevel="0" collapsed="false">
      <c r="A73" s="5" t="n">
        <v>72</v>
      </c>
      <c r="B73" s="5" t="s">
        <v>239</v>
      </c>
      <c r="C73" s="5" t="s">
        <v>30</v>
      </c>
      <c r="D73" s="6" t="s">
        <v>240</v>
      </c>
      <c r="E73" s="6" t="s">
        <v>241</v>
      </c>
      <c r="F73" s="9" t="s">
        <v>38</v>
      </c>
      <c r="G73" s="10"/>
      <c r="H73" s="10"/>
      <c r="I73" s="6"/>
    </row>
    <row r="74" customFormat="false" ht="30" hidden="false" customHeight="true" outlineLevel="0" collapsed="false">
      <c r="A74" s="5" t="n">
        <v>73</v>
      </c>
      <c r="B74" s="5" t="s">
        <v>242</v>
      </c>
      <c r="C74" s="5" t="s">
        <v>30</v>
      </c>
      <c r="D74" s="6" t="s">
        <v>243</v>
      </c>
      <c r="E74" s="6" t="s">
        <v>244</v>
      </c>
      <c r="F74" s="9" t="s">
        <v>38</v>
      </c>
      <c r="G74" s="10"/>
      <c r="H74" s="10"/>
      <c r="I74" s="6"/>
    </row>
    <row r="75" customFormat="false" ht="30" hidden="false" customHeight="true" outlineLevel="0" collapsed="false">
      <c r="A75" s="5" t="n">
        <v>74</v>
      </c>
      <c r="B75" s="5" t="s">
        <v>245</v>
      </c>
      <c r="C75" s="5" t="s">
        <v>30</v>
      </c>
      <c r="D75" s="6" t="s">
        <v>246</v>
      </c>
      <c r="E75" s="6" t="s">
        <v>247</v>
      </c>
      <c r="F75" s="9" t="s">
        <v>38</v>
      </c>
      <c r="G75" s="10"/>
      <c r="H75" s="10"/>
      <c r="I75" s="6"/>
    </row>
    <row r="76" customFormat="false" ht="30" hidden="false" customHeight="true" outlineLevel="0" collapsed="false">
      <c r="A76" s="5" t="n">
        <v>75</v>
      </c>
      <c r="B76" s="5" t="s">
        <v>248</v>
      </c>
      <c r="C76" s="5" t="s">
        <v>30</v>
      </c>
      <c r="D76" s="6" t="s">
        <v>249</v>
      </c>
      <c r="E76" s="6" t="s">
        <v>250</v>
      </c>
      <c r="F76" s="9" t="s">
        <v>38</v>
      </c>
      <c r="G76" s="10"/>
      <c r="H76" s="10"/>
      <c r="I76" s="6"/>
    </row>
    <row r="77" customFormat="false" ht="30" hidden="false" customHeight="true" outlineLevel="0" collapsed="false">
      <c r="A77" s="5" t="n">
        <v>76</v>
      </c>
      <c r="B77" s="5" t="s">
        <v>251</v>
      </c>
      <c r="C77" s="5" t="s">
        <v>30</v>
      </c>
      <c r="D77" s="6" t="s">
        <v>252</v>
      </c>
      <c r="E77" s="6" t="s">
        <v>253</v>
      </c>
      <c r="F77" s="9" t="s">
        <v>38</v>
      </c>
      <c r="G77" s="10"/>
      <c r="H77" s="10"/>
      <c r="I77" s="6"/>
    </row>
    <row r="78" customFormat="false" ht="30" hidden="false" customHeight="true" outlineLevel="0" collapsed="false">
      <c r="A78" s="5" t="n">
        <v>77</v>
      </c>
      <c r="B78" s="5" t="s">
        <v>254</v>
      </c>
      <c r="C78" s="5" t="s">
        <v>30</v>
      </c>
      <c r="D78" s="6" t="s">
        <v>255</v>
      </c>
      <c r="E78" s="6" t="s">
        <v>256</v>
      </c>
      <c r="F78" s="9" t="s">
        <v>38</v>
      </c>
      <c r="G78" s="10"/>
      <c r="H78" s="10"/>
      <c r="I78" s="6"/>
    </row>
    <row r="79" customFormat="false" ht="30" hidden="false" customHeight="true" outlineLevel="0" collapsed="false">
      <c r="A79" s="5" t="n">
        <v>78</v>
      </c>
      <c r="B79" s="5" t="s">
        <v>257</v>
      </c>
      <c r="C79" s="5" t="s">
        <v>30</v>
      </c>
      <c r="D79" s="6" t="s">
        <v>258</v>
      </c>
      <c r="E79" s="6" t="s">
        <v>259</v>
      </c>
      <c r="F79" s="9" t="s">
        <v>38</v>
      </c>
      <c r="G79" s="10"/>
      <c r="H79" s="10"/>
      <c r="I79" s="6"/>
    </row>
    <row r="80" customFormat="false" ht="30" hidden="false" customHeight="true" outlineLevel="0" collapsed="false">
      <c r="A80" s="5" t="n">
        <v>79</v>
      </c>
      <c r="B80" s="5" t="s">
        <v>260</v>
      </c>
      <c r="C80" s="5" t="s">
        <v>30</v>
      </c>
      <c r="D80" s="6" t="s">
        <v>261</v>
      </c>
      <c r="E80" s="6" t="s">
        <v>262</v>
      </c>
      <c r="F80" s="9" t="s">
        <v>38</v>
      </c>
      <c r="G80" s="10"/>
      <c r="H80" s="10"/>
      <c r="I80" s="6"/>
    </row>
    <row r="81" customFormat="false" ht="30" hidden="false" customHeight="true" outlineLevel="0" collapsed="false">
      <c r="A81" s="5" t="n">
        <v>80</v>
      </c>
      <c r="B81" s="5" t="s">
        <v>263</v>
      </c>
      <c r="C81" s="5" t="s">
        <v>30</v>
      </c>
      <c r="D81" s="6" t="s">
        <v>264</v>
      </c>
      <c r="E81" s="6" t="s">
        <v>265</v>
      </c>
      <c r="F81" s="9" t="s">
        <v>38</v>
      </c>
      <c r="G81" s="10"/>
      <c r="H81" s="10"/>
      <c r="I81" s="6"/>
    </row>
    <row r="82" customFormat="false" ht="30" hidden="false" customHeight="true" outlineLevel="0" collapsed="false">
      <c r="A82" s="5" t="n">
        <v>81</v>
      </c>
      <c r="B82" s="5" t="s">
        <v>266</v>
      </c>
      <c r="C82" s="5" t="s">
        <v>30</v>
      </c>
      <c r="D82" s="6" t="s">
        <v>267</v>
      </c>
      <c r="E82" s="6" t="s">
        <v>268</v>
      </c>
      <c r="F82" s="9" t="s">
        <v>38</v>
      </c>
      <c r="G82" s="10"/>
      <c r="H82" s="10"/>
      <c r="I82" s="6"/>
    </row>
    <row r="83" customFormat="false" ht="30" hidden="false" customHeight="true" outlineLevel="0" collapsed="false">
      <c r="A83" s="5" t="n">
        <v>82</v>
      </c>
      <c r="B83" s="5" t="s">
        <v>269</v>
      </c>
      <c r="C83" s="5" t="s">
        <v>30</v>
      </c>
      <c r="D83" s="6" t="s">
        <v>270</v>
      </c>
      <c r="E83" s="6" t="s">
        <v>271</v>
      </c>
      <c r="F83" s="9" t="s">
        <v>38</v>
      </c>
      <c r="G83" s="10"/>
      <c r="H83" s="10"/>
      <c r="I83" s="6"/>
    </row>
    <row r="84" customFormat="false" ht="30" hidden="false" customHeight="true" outlineLevel="0" collapsed="false">
      <c r="A84" s="5" t="n">
        <v>83</v>
      </c>
      <c r="B84" s="5" t="s">
        <v>272</v>
      </c>
      <c r="C84" s="5" t="s">
        <v>30</v>
      </c>
      <c r="D84" s="6" t="s">
        <v>273</v>
      </c>
      <c r="E84" s="6" t="s">
        <v>274</v>
      </c>
      <c r="F84" s="9" t="s">
        <v>38</v>
      </c>
      <c r="G84" s="10"/>
      <c r="H84" s="10"/>
      <c r="I84" s="6"/>
    </row>
    <row r="85" customFormat="false" ht="30" hidden="false" customHeight="true" outlineLevel="0" collapsed="false">
      <c r="A85" s="5" t="n">
        <v>84</v>
      </c>
      <c r="B85" s="5" t="s">
        <v>275</v>
      </c>
      <c r="C85" s="5" t="s">
        <v>30</v>
      </c>
      <c r="D85" s="6" t="s">
        <v>276</v>
      </c>
      <c r="E85" s="6" t="s">
        <v>277</v>
      </c>
      <c r="F85" s="9" t="s">
        <v>38</v>
      </c>
      <c r="G85" s="10"/>
      <c r="H85" s="10"/>
      <c r="I85" s="6"/>
    </row>
    <row r="86" customFormat="false" ht="30" hidden="false" customHeight="true" outlineLevel="0" collapsed="false">
      <c r="A86" s="5" t="n">
        <v>85</v>
      </c>
      <c r="B86" s="5" t="s">
        <v>278</v>
      </c>
      <c r="C86" s="5" t="s">
        <v>30</v>
      </c>
      <c r="D86" s="6" t="s">
        <v>279</v>
      </c>
      <c r="E86" s="6" t="s">
        <v>280</v>
      </c>
      <c r="F86" s="9" t="s">
        <v>38</v>
      </c>
      <c r="G86" s="10"/>
      <c r="H86" s="10"/>
      <c r="I86" s="6"/>
    </row>
    <row r="87" customFormat="false" ht="30" hidden="false" customHeight="true" outlineLevel="0" collapsed="false">
      <c r="A87" s="5" t="n">
        <v>86</v>
      </c>
      <c r="B87" s="5" t="s">
        <v>281</v>
      </c>
      <c r="C87" s="5" t="s">
        <v>30</v>
      </c>
      <c r="D87" s="6" t="s">
        <v>282</v>
      </c>
      <c r="E87" s="6" t="s">
        <v>283</v>
      </c>
      <c r="F87" s="9" t="s">
        <v>38</v>
      </c>
      <c r="G87" s="10"/>
      <c r="H87" s="10"/>
      <c r="I87" s="6"/>
    </row>
    <row r="88" customFormat="false" ht="30" hidden="false" customHeight="true" outlineLevel="0" collapsed="false">
      <c r="A88" s="5" t="n">
        <v>87</v>
      </c>
      <c r="B88" s="5" t="s">
        <v>284</v>
      </c>
      <c r="C88" s="5" t="s">
        <v>30</v>
      </c>
      <c r="D88" s="6" t="s">
        <v>285</v>
      </c>
      <c r="E88" s="6" t="s">
        <v>286</v>
      </c>
      <c r="F88" s="9" t="s">
        <v>38</v>
      </c>
      <c r="G88" s="10"/>
      <c r="H88" s="10"/>
      <c r="I88" s="6"/>
    </row>
    <row r="89" customFormat="false" ht="30" hidden="false" customHeight="true" outlineLevel="0" collapsed="false">
      <c r="A89" s="5" t="n">
        <v>88</v>
      </c>
      <c r="B89" s="5" t="s">
        <v>287</v>
      </c>
      <c r="C89" s="5" t="s">
        <v>30</v>
      </c>
      <c r="D89" s="6" t="s">
        <v>288</v>
      </c>
      <c r="E89" s="6" t="s">
        <v>289</v>
      </c>
      <c r="F89" s="9" t="s">
        <v>38</v>
      </c>
      <c r="G89" s="10"/>
      <c r="H89" s="10"/>
      <c r="I89" s="6"/>
    </row>
    <row r="90" customFormat="false" ht="30" hidden="false" customHeight="true" outlineLevel="0" collapsed="false">
      <c r="A90" s="5" t="n">
        <v>89</v>
      </c>
      <c r="B90" s="5" t="s">
        <v>290</v>
      </c>
      <c r="C90" s="5" t="s">
        <v>30</v>
      </c>
      <c r="D90" s="6" t="s">
        <v>291</v>
      </c>
      <c r="E90" s="6" t="s">
        <v>292</v>
      </c>
      <c r="F90" s="9" t="s">
        <v>38</v>
      </c>
      <c r="G90" s="10"/>
      <c r="H90" s="10"/>
      <c r="I90" s="6"/>
    </row>
    <row r="91" customFormat="false" ht="30" hidden="false" customHeight="true" outlineLevel="0" collapsed="false">
      <c r="A91" s="5" t="n">
        <v>90</v>
      </c>
      <c r="B91" s="5" t="s">
        <v>293</v>
      </c>
      <c r="C91" s="5" t="s">
        <v>30</v>
      </c>
      <c r="D91" s="6" t="s">
        <v>294</v>
      </c>
      <c r="E91" s="6" t="s">
        <v>295</v>
      </c>
      <c r="F91" s="9" t="s">
        <v>38</v>
      </c>
      <c r="G91" s="10"/>
      <c r="H91" s="10"/>
      <c r="I91" s="6"/>
    </row>
    <row r="92" customFormat="false" ht="30" hidden="false" customHeight="true" outlineLevel="0" collapsed="false">
      <c r="A92" s="5" t="n">
        <v>91</v>
      </c>
      <c r="B92" s="5" t="s">
        <v>296</v>
      </c>
      <c r="C92" s="5" t="s">
        <v>30</v>
      </c>
      <c r="D92" s="6" t="s">
        <v>297</v>
      </c>
      <c r="E92" s="6" t="s">
        <v>298</v>
      </c>
      <c r="F92" s="9" t="s">
        <v>38</v>
      </c>
      <c r="G92" s="10"/>
      <c r="H92" s="10"/>
      <c r="I92" s="6"/>
    </row>
    <row r="93" customFormat="false" ht="30" hidden="false" customHeight="true" outlineLevel="0" collapsed="false">
      <c r="A93" s="5" t="n">
        <v>92</v>
      </c>
      <c r="B93" s="5" t="s">
        <v>299</v>
      </c>
      <c r="C93" s="5" t="s">
        <v>30</v>
      </c>
      <c r="D93" s="6" t="s">
        <v>300</v>
      </c>
      <c r="E93" s="6" t="s">
        <v>301</v>
      </c>
      <c r="F93" s="9" t="s">
        <v>38</v>
      </c>
      <c r="G93" s="10"/>
      <c r="H93" s="10"/>
      <c r="I93" s="6"/>
    </row>
    <row r="94" customFormat="false" ht="30" hidden="false" customHeight="true" outlineLevel="0" collapsed="false">
      <c r="A94" s="5" t="n">
        <v>93</v>
      </c>
      <c r="B94" s="5" t="s">
        <v>302</v>
      </c>
      <c r="C94" s="5" t="s">
        <v>30</v>
      </c>
      <c r="D94" s="6" t="s">
        <v>303</v>
      </c>
      <c r="E94" s="6" t="s">
        <v>304</v>
      </c>
      <c r="F94" s="9" t="s">
        <v>38</v>
      </c>
      <c r="G94" s="10"/>
      <c r="H94" s="10"/>
      <c r="I94" s="6"/>
    </row>
    <row r="95" customFormat="false" ht="30" hidden="false" customHeight="true" outlineLevel="0" collapsed="false">
      <c r="A95" s="5" t="n">
        <v>94</v>
      </c>
      <c r="B95" s="5" t="s">
        <v>305</v>
      </c>
      <c r="C95" s="5" t="s">
        <v>30</v>
      </c>
      <c r="D95" s="6" t="s">
        <v>306</v>
      </c>
      <c r="E95" s="6" t="s">
        <v>307</v>
      </c>
      <c r="F95" s="9" t="s">
        <v>38</v>
      </c>
      <c r="G95" s="10"/>
      <c r="H95" s="10"/>
      <c r="I95" s="6"/>
    </row>
    <row r="96" customFormat="false" ht="30" hidden="false" customHeight="true" outlineLevel="0" collapsed="false">
      <c r="A96" s="5" t="n">
        <v>95</v>
      </c>
      <c r="B96" s="5" t="s">
        <v>308</v>
      </c>
      <c r="C96" s="5" t="s">
        <v>30</v>
      </c>
      <c r="D96" s="6" t="s">
        <v>309</v>
      </c>
      <c r="E96" s="6" t="s">
        <v>310</v>
      </c>
      <c r="F96" s="9" t="s">
        <v>38</v>
      </c>
      <c r="G96" s="10"/>
      <c r="H96" s="10"/>
      <c r="I96" s="6"/>
    </row>
    <row r="97" customFormat="false" ht="30" hidden="false" customHeight="true" outlineLevel="0" collapsed="false">
      <c r="A97" s="5" t="n">
        <v>96</v>
      </c>
      <c r="B97" s="5" t="s">
        <v>311</v>
      </c>
      <c r="C97" s="5" t="s">
        <v>30</v>
      </c>
      <c r="D97" s="6" t="s">
        <v>312</v>
      </c>
      <c r="E97" s="6" t="s">
        <v>313</v>
      </c>
      <c r="F97" s="9" t="s">
        <v>38</v>
      </c>
      <c r="G97" s="10"/>
      <c r="H97" s="10"/>
      <c r="I97" s="6"/>
    </row>
    <row r="98" customFormat="false" ht="30" hidden="false" customHeight="true" outlineLevel="0" collapsed="false">
      <c r="A98" s="5" t="n">
        <v>97</v>
      </c>
      <c r="B98" s="5" t="s">
        <v>314</v>
      </c>
      <c r="C98" s="5" t="s">
        <v>30</v>
      </c>
      <c r="D98" s="6" t="s">
        <v>315</v>
      </c>
      <c r="E98" s="6" t="s">
        <v>316</v>
      </c>
      <c r="F98" s="9" t="s">
        <v>38</v>
      </c>
      <c r="G98" s="10"/>
      <c r="H98" s="10"/>
      <c r="I98" s="6"/>
    </row>
    <row r="99" customFormat="false" ht="30" hidden="false" customHeight="true" outlineLevel="0" collapsed="false">
      <c r="A99" s="5" t="n">
        <v>98</v>
      </c>
      <c r="B99" s="5" t="s">
        <v>317</v>
      </c>
      <c r="C99" s="5" t="s">
        <v>30</v>
      </c>
      <c r="D99" s="6" t="s">
        <v>318</v>
      </c>
      <c r="E99" s="6" t="s">
        <v>319</v>
      </c>
      <c r="F99" s="9" t="s">
        <v>38</v>
      </c>
      <c r="G99" s="10"/>
      <c r="H99" s="10"/>
      <c r="I99" s="6"/>
    </row>
    <row r="100" customFormat="false" ht="30" hidden="false" customHeight="true" outlineLevel="0" collapsed="false">
      <c r="A100" s="5" t="n">
        <v>99</v>
      </c>
      <c r="B100" s="5" t="s">
        <v>320</v>
      </c>
      <c r="C100" s="5" t="s">
        <v>30</v>
      </c>
      <c r="D100" s="6" t="s">
        <v>321</v>
      </c>
      <c r="E100" s="6" t="s">
        <v>322</v>
      </c>
      <c r="F100" s="9" t="s">
        <v>38</v>
      </c>
      <c r="G100" s="10"/>
      <c r="H100" s="10"/>
      <c r="I100" s="6"/>
    </row>
    <row r="101" customFormat="false" ht="30" hidden="false" customHeight="true" outlineLevel="0" collapsed="false">
      <c r="A101" s="5" t="n">
        <v>100</v>
      </c>
      <c r="B101" s="5" t="s">
        <v>323</v>
      </c>
      <c r="C101" s="5" t="s">
        <v>30</v>
      </c>
      <c r="D101" s="6" t="s">
        <v>324</v>
      </c>
      <c r="E101" s="6" t="s">
        <v>325</v>
      </c>
      <c r="F101" s="9" t="s">
        <v>38</v>
      </c>
      <c r="G101" s="10"/>
      <c r="H101" s="10"/>
      <c r="I101" s="6"/>
    </row>
    <row r="103" customFormat="false" ht="15" hidden="false" customHeight="false" outlineLevel="0" collapsed="false">
      <c r="D103" s="11" t="s">
        <v>326</v>
      </c>
      <c r="G103" s="12" t="str">
        <f aca="false">IFERROR(AVERAGE(G2:G101),"")</f>
        <v/>
      </c>
      <c r="H103" s="12" t="str">
        <f aca="false">IFERROR(AVERAGE(H2:H101),"")</f>
        <v/>
      </c>
    </row>
  </sheetData>
  <dataValidations count="1">
    <dataValidation allowBlank="true" error="Enter a whole number from 1 to 5" errorStyle="stop" errorTitle="Invalid score" operator="between" showDropDown="false" showErrorMessage="false" showInputMessage="false" sqref="G4:H10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6"/>
    <col collapsed="false" customWidth="true" hidden="false" outlineLevel="0" max="3" min="3" style="0" width="20"/>
    <col collapsed="false" customWidth="true" hidden="false" outlineLevel="0" max="4" min="4" style="0" width="10"/>
    <col collapsed="false" customWidth="true" hidden="false" outlineLevel="0" max="6" min="5" style="0" width="14"/>
  </cols>
  <sheetData>
    <row r="2" customFormat="false" ht="19.7" hidden="false" customHeight="false" outlineLevel="0" collapsed="false">
      <c r="B2" s="1" t="s">
        <v>327</v>
      </c>
    </row>
    <row r="4" customFormat="false" ht="15" hidden="false" customHeight="false" outlineLevel="0" collapsed="false">
      <c r="B4" s="13" t="s">
        <v>20</v>
      </c>
      <c r="C4" s="13" t="s">
        <v>21</v>
      </c>
      <c r="D4" s="13" t="s">
        <v>328</v>
      </c>
      <c r="E4" s="13" t="s">
        <v>329</v>
      </c>
      <c r="F4" s="13" t="s">
        <v>330</v>
      </c>
    </row>
    <row r="5" customFormat="false" ht="15" hidden="false" customHeight="false" outlineLevel="0" collapsed="false">
      <c r="B5" s="5" t="n">
        <v>1</v>
      </c>
      <c r="C5" s="5" t="s">
        <v>161</v>
      </c>
      <c r="D5" s="5" t="n">
        <f aca="false">COUNTIFS(Scores!B:B,"Administration",Scores!G:G,"&lt;&gt;")</f>
        <v>0</v>
      </c>
      <c r="E5" s="14" t="str">
        <f aca="false">IFERROR(AVERAGEIFS(Scores!G:G,Scores!B:B,"Administration"),"")</f>
        <v/>
      </c>
      <c r="F5" s="14" t="str">
        <f aca="false">IFERROR(AVERAGEIFS(Scores!H:H,Scores!B:B,"Administration"),"")</f>
        <v/>
      </c>
    </row>
    <row r="6" customFormat="false" ht="15" hidden="false" customHeight="false" outlineLevel="0" collapsed="false">
      <c r="B6" s="5" t="n">
        <v>2</v>
      </c>
      <c r="C6" s="5" t="s">
        <v>191</v>
      </c>
      <c r="D6" s="5" t="n">
        <f aca="false">COUNTIFS(Scores!B:B,"Agri-tech/Climate",Scores!G:G,"&lt;&gt;")</f>
        <v>0</v>
      </c>
      <c r="E6" s="14" t="str">
        <f aca="false">IFERROR(AVERAGEIFS(Scores!G:G,Scores!B:B,"Agri-tech/Climate"),"")</f>
        <v/>
      </c>
      <c r="F6" s="14" t="str">
        <f aca="false">IFERROR(AVERAGEIFS(Scores!H:H,Scores!B:B,"Agri-tech/Climate"),"")</f>
        <v/>
      </c>
    </row>
    <row r="7" customFormat="false" ht="15" hidden="false" customHeight="false" outlineLevel="0" collapsed="false">
      <c r="B7" s="5" t="n">
        <v>3</v>
      </c>
      <c r="C7" s="5" t="s">
        <v>299</v>
      </c>
      <c r="D7" s="5" t="n">
        <f aca="false">COUNTIFS(Scores!B:B,"Agricultural Biotechnology",Scores!G:G,"&lt;&gt;")</f>
        <v>0</v>
      </c>
      <c r="E7" s="14" t="str">
        <f aca="false">IFERROR(AVERAGEIFS(Scores!G:G,Scores!B:B,"Agricultural Biotechnology"),"")</f>
        <v/>
      </c>
      <c r="F7" s="14" t="str">
        <f aca="false">IFERROR(AVERAGEIFS(Scores!H:H,Scores!B:B,"Agricultural Biotechnology"),"")</f>
        <v/>
      </c>
    </row>
    <row r="8" customFormat="false" ht="15" hidden="false" customHeight="false" outlineLevel="0" collapsed="false">
      <c r="B8" s="5" t="n">
        <v>4</v>
      </c>
      <c r="C8" s="5" t="s">
        <v>155</v>
      </c>
      <c r="D8" s="5" t="n">
        <f aca="false">COUNTIFS(Scores!B:B,"Agriculture",Scores!G:G,"&lt;&gt;")</f>
        <v>0</v>
      </c>
      <c r="E8" s="14" t="str">
        <f aca="false">IFERROR(AVERAGEIFS(Scores!G:G,Scores!B:B,"Agriculture"),"")</f>
        <v/>
      </c>
      <c r="F8" s="14" t="str">
        <f aca="false">IFERROR(AVERAGEIFS(Scores!H:H,Scores!B:B,"Agriculture"),"")</f>
        <v/>
      </c>
    </row>
    <row r="9" customFormat="false" ht="15" hidden="false" customHeight="false" outlineLevel="0" collapsed="false">
      <c r="B9" s="5" t="n">
        <v>5</v>
      </c>
      <c r="C9" s="5" t="s">
        <v>290</v>
      </c>
      <c r="D9" s="5" t="n">
        <f aca="false">COUNTIFS(Scores!B:B,"Artificial Intelligence/Creativity",Scores!G:G,"&lt;&gt;")</f>
        <v>0</v>
      </c>
      <c r="E9" s="14" t="str">
        <f aca="false">IFERROR(AVERAGEIFS(Scores!G:G,Scores!B:B,"Artificial Intelligence/Creativity"),"")</f>
        <v/>
      </c>
      <c r="F9" s="14" t="str">
        <f aca="false">IFERROR(AVERAGEIFS(Scores!H:H,Scores!B:B,"Artificial Intelligence/Creativity"),"")</f>
        <v/>
      </c>
    </row>
    <row r="10" customFormat="false" ht="15" hidden="false" customHeight="false" outlineLevel="0" collapsed="false">
      <c r="B10" s="5" t="n">
        <v>6</v>
      </c>
      <c r="C10" s="5" t="s">
        <v>245</v>
      </c>
      <c r="D10" s="5" t="n">
        <f aca="false">COUNTIFS(Scores!B:B,"Astrophysics/Space Law",Scores!G:G,"&lt;&gt;")</f>
        <v>0</v>
      </c>
      <c r="E10" s="14" t="str">
        <f aca="false">IFERROR(AVERAGEIFS(Scores!G:G,Scores!B:B,"Astrophysics/Space Law"),"")</f>
        <v/>
      </c>
      <c r="F10" s="14" t="str">
        <f aca="false">IFERROR(AVERAGEIFS(Scores!H:H,Scores!B:B,"Astrophysics/Space Law"),"")</f>
        <v/>
      </c>
    </row>
    <row r="11" customFormat="false" ht="15" hidden="false" customHeight="false" outlineLevel="0" collapsed="false">
      <c r="B11" s="5" t="n">
        <v>7</v>
      </c>
      <c r="C11" s="5" t="s">
        <v>260</v>
      </c>
      <c r="D11" s="5" t="n">
        <f aca="false">COUNTIFS(Scores!B:B,"Behavioral Finance",Scores!G:G,"&lt;&gt;")</f>
        <v>0</v>
      </c>
      <c r="E11" s="14" t="str">
        <f aca="false">IFERROR(AVERAGEIFS(Scores!G:G,Scores!B:B,"Behavioral Finance"),"")</f>
        <v/>
      </c>
      <c r="F11" s="14" t="str">
        <f aca="false">IFERROR(AVERAGEIFS(Scores!H:H,Scores!B:B,"Behavioral Finance"),"")</f>
        <v/>
      </c>
    </row>
    <row r="12" customFormat="false" ht="15" hidden="false" customHeight="false" outlineLevel="0" collapsed="false">
      <c r="B12" s="5" t="n">
        <v>8</v>
      </c>
      <c r="C12" s="5" t="s">
        <v>239</v>
      </c>
      <c r="D12" s="5" t="n">
        <f aca="false">COUNTIFS(Scores!B:B,"Biomedical Ethics",Scores!G:G,"&lt;&gt;")</f>
        <v>0</v>
      </c>
      <c r="E12" s="14" t="str">
        <f aca="false">IFERROR(AVERAGEIFS(Scores!G:G,Scores!B:B,"Biomedical Ethics"),"")</f>
        <v/>
      </c>
      <c r="F12" s="14" t="str">
        <f aca="false">IFERROR(AVERAGEIFS(Scores!H:H,Scores!B:B,"Biomedical Ethics"),"")</f>
        <v/>
      </c>
    </row>
    <row r="13" customFormat="false" ht="15" hidden="false" customHeight="false" outlineLevel="0" collapsed="false">
      <c r="B13" s="5" t="n">
        <v>9</v>
      </c>
      <c r="C13" s="5" t="s">
        <v>233</v>
      </c>
      <c r="D13" s="5" t="n">
        <f aca="false">COUNTIFS(Scores!B:B,"Biosafety/Agriculture Policy",Scores!G:G,"&lt;&gt;")</f>
        <v>0</v>
      </c>
      <c r="E13" s="14" t="str">
        <f aca="false">IFERROR(AVERAGEIFS(Scores!G:G,Scores!B:B,"Biosafety/Agriculture Policy"),"")</f>
        <v/>
      </c>
      <c r="F13" s="14" t="str">
        <f aca="false">IFERROR(AVERAGEIFS(Scores!H:H,Scores!B:B,"Biosafety/Agriculture Policy"),"")</f>
        <v/>
      </c>
    </row>
    <row r="14" customFormat="false" ht="15" hidden="false" customHeight="false" outlineLevel="0" collapsed="false">
      <c r="B14" s="5" t="n">
        <v>10</v>
      </c>
      <c r="C14" s="5" t="s">
        <v>152</v>
      </c>
      <c r="D14" s="5" t="n">
        <f aca="false">COUNTIFS(Scores!B:B,"Civics",Scores!G:G,"&lt;&gt;")</f>
        <v>0</v>
      </c>
      <c r="E14" s="14" t="str">
        <f aca="false">IFERROR(AVERAGEIFS(Scores!G:G,Scores!B:B,"Civics"),"")</f>
        <v/>
      </c>
      <c r="F14" s="14" t="str">
        <f aca="false">IFERROR(AVERAGEIFS(Scores!H:H,Scores!B:B,"Civics"),"")</f>
        <v/>
      </c>
    </row>
    <row r="15" customFormat="false" ht="15" hidden="false" customHeight="false" outlineLevel="0" collapsed="false">
      <c r="B15" s="5" t="n">
        <v>11</v>
      </c>
      <c r="C15" s="5" t="s">
        <v>91</v>
      </c>
      <c r="D15" s="5" t="n">
        <f aca="false">COUNTIFS(Scores!B:B,"Clarification",Scores!G:G,"&lt;&gt;")</f>
        <v>0</v>
      </c>
      <c r="E15" s="14" t="str">
        <f aca="false">IFERROR(AVERAGEIFS(Scores!G:G,Scores!B:B,"Clarification"),"")</f>
        <v/>
      </c>
      <c r="F15" s="14" t="str">
        <f aca="false">IFERROR(AVERAGEIFS(Scores!H:H,Scores!B:B,"Clarification"),"")</f>
        <v/>
      </c>
    </row>
    <row r="16" customFormat="false" ht="15" hidden="false" customHeight="false" outlineLevel="0" collapsed="false">
      <c r="B16" s="5" t="n">
        <v>12</v>
      </c>
      <c r="C16" s="5" t="s">
        <v>251</v>
      </c>
      <c r="D16" s="5" t="n">
        <f aca="false">COUNTIFS(Scores!B:B,"Cognitive Psychology",Scores!G:G,"&lt;&gt;")</f>
        <v>0</v>
      </c>
      <c r="E16" s="14" t="str">
        <f aca="false">IFERROR(AVERAGEIFS(Scores!G:G,Scores!B:B,"Cognitive Psychology"),"")</f>
        <v/>
      </c>
      <c r="F16" s="14" t="str">
        <f aca="false">IFERROR(AVERAGEIFS(Scores!H:H,Scores!B:B,"Cognitive Psychology"),"")</f>
        <v/>
      </c>
    </row>
    <row r="17" customFormat="false" ht="15" hidden="false" customHeight="false" outlineLevel="0" collapsed="false">
      <c r="B17" s="5" t="n">
        <v>13</v>
      </c>
      <c r="C17" s="5" t="s">
        <v>200</v>
      </c>
      <c r="D17" s="5" t="n">
        <f aca="false">COUNTIFS(Scores!B:B,"Cognitive Science",Scores!G:G,"&lt;&gt;")</f>
        <v>0</v>
      </c>
      <c r="E17" s="14" t="str">
        <f aca="false">IFERROR(AVERAGEIFS(Scores!G:G,Scores!B:B,"Cognitive Science"),"")</f>
        <v/>
      </c>
      <c r="F17" s="14" t="str">
        <f aca="false">IFERROR(AVERAGEIFS(Scores!H:H,Scores!B:B,"Cognitive Science"),"")</f>
        <v/>
      </c>
    </row>
    <row r="18" customFormat="false" ht="15" hidden="false" customHeight="false" outlineLevel="0" collapsed="false">
      <c r="B18" s="5" t="n">
        <v>14</v>
      </c>
      <c r="C18" s="5" t="s">
        <v>136</v>
      </c>
      <c r="D18" s="5" t="n">
        <f aca="false">COUNTIFS(Scores!B:B,"Communication",Scores!G:G,"&lt;&gt;")</f>
        <v>0</v>
      </c>
      <c r="E18" s="14" t="str">
        <f aca="false">IFERROR(AVERAGEIFS(Scores!G:G,Scores!B:B,"Communication"),"")</f>
        <v/>
      </c>
      <c r="F18" s="14" t="str">
        <f aca="false">IFERROR(AVERAGEIFS(Scores!H:H,Scores!B:B,"Communication"),"")</f>
        <v/>
      </c>
    </row>
    <row r="19" customFormat="false" ht="15" hidden="false" customHeight="false" outlineLevel="0" collapsed="false">
      <c r="B19" s="5" t="n">
        <v>15</v>
      </c>
      <c r="C19" s="5" t="s">
        <v>323</v>
      </c>
      <c r="D19" s="5" t="n">
        <f aca="false">COUNTIFS(Scores!B:B,"Complex Systems/Climate Modeling",Scores!G:G,"&lt;&gt;")</f>
        <v>0</v>
      </c>
      <c r="E19" s="14" t="str">
        <f aca="false">IFERROR(AVERAGEIFS(Scores!G:G,Scores!B:B,"Complex Systems/Climate Modeling"),"")</f>
        <v/>
      </c>
      <c r="F19" s="14" t="str">
        <f aca="false">IFERROR(AVERAGEIFS(Scores!H:H,Scores!B:B,"Complex Systems/Climate Modeling"),"")</f>
        <v/>
      </c>
    </row>
    <row r="20" customFormat="false" ht="15" hidden="false" customHeight="false" outlineLevel="0" collapsed="false">
      <c r="B20" s="5" t="n">
        <v>16</v>
      </c>
      <c r="C20" s="5" t="s">
        <v>88</v>
      </c>
      <c r="D20" s="5" t="n">
        <f aca="false">COUNTIFS(Scores!B:B,"Complex/Compound",Scores!G:G,"&lt;&gt;")</f>
        <v>0</v>
      </c>
      <c r="E20" s="14" t="str">
        <f aca="false">IFERROR(AVERAGEIFS(Scores!G:G,Scores!B:B,"Complex/Compound"),"")</f>
        <v/>
      </c>
      <c r="F20" s="14" t="str">
        <f aca="false">IFERROR(AVERAGEIFS(Scores!H:H,Scores!B:B,"Complex/Compound"),"")</f>
        <v/>
      </c>
    </row>
    <row r="21" customFormat="false" ht="15" hidden="false" customHeight="false" outlineLevel="0" collapsed="false">
      <c r="B21" s="5" t="n">
        <v>17</v>
      </c>
      <c r="C21" s="5" t="s">
        <v>71</v>
      </c>
      <c r="D21" s="5" t="n">
        <f aca="false">COUNTIFS(Scores!B:B,"Concession/Complex",Scores!G:G,"&lt;&gt;")</f>
        <v>0</v>
      </c>
      <c r="E21" s="14" t="str">
        <f aca="false">IFERROR(AVERAGEIFS(Scores!G:G,Scores!B:B,"Concession/Complex"),"")</f>
        <v/>
      </c>
      <c r="F21" s="14" t="str">
        <f aca="false">IFERROR(AVERAGEIFS(Scores!H:H,Scores!B:B,"Concession/Complex"),"")</f>
        <v/>
      </c>
    </row>
    <row r="22" customFormat="false" ht="15" hidden="false" customHeight="false" outlineLevel="0" collapsed="false">
      <c r="B22" s="5" t="n">
        <v>18</v>
      </c>
      <c r="C22" s="5" t="s">
        <v>65</v>
      </c>
      <c r="D22" s="5" t="n">
        <f aca="false">COUNTIFS(Scores!B:B,"Conditional/Complex",Scores!G:G,"&lt;&gt;")</f>
        <v>0</v>
      </c>
      <c r="E22" s="14" t="str">
        <f aca="false">IFERROR(AVERAGEIFS(Scores!G:G,Scores!B:B,"Conditional/Complex"),"")</f>
        <v/>
      </c>
      <c r="F22" s="14" t="str">
        <f aca="false">IFERROR(AVERAGEIFS(Scores!H:H,Scores!B:B,"Conditional/Complex"),"")</f>
        <v/>
      </c>
    </row>
    <row r="23" customFormat="false" ht="15" hidden="false" customHeight="false" outlineLevel="0" collapsed="false">
      <c r="B23" s="5" t="n">
        <v>19</v>
      </c>
      <c r="C23" s="5" t="s">
        <v>296</v>
      </c>
      <c r="D23" s="5" t="n">
        <f aca="false">COUNTIFS(Scores!B:B,"Constitutional Law",Scores!G:G,"&lt;&gt;")</f>
        <v>0</v>
      </c>
      <c r="E23" s="14" t="str">
        <f aca="false">IFERROR(AVERAGEIFS(Scores!G:G,Scores!B:B,"Constitutional Law"),"")</f>
        <v/>
      </c>
      <c r="F23" s="14" t="str">
        <f aca="false">IFERROR(AVERAGEIFS(Scores!H:H,Scores!B:B,"Constitutional Law"),"")</f>
        <v/>
      </c>
    </row>
    <row r="24" customFormat="false" ht="15" hidden="false" customHeight="false" outlineLevel="0" collapsed="false">
      <c r="B24" s="5" t="n">
        <v>20</v>
      </c>
      <c r="C24" s="5" t="s">
        <v>209</v>
      </c>
      <c r="D24" s="5" t="n">
        <f aca="false">COUNTIFS(Scores!B:B,"Corporate Crisis Management",Scores!G:G,"&lt;&gt;")</f>
        <v>0</v>
      </c>
      <c r="E24" s="14" t="str">
        <f aca="false">IFERROR(AVERAGEIFS(Scores!G:G,Scores!B:B,"Corporate Crisis Management"),"")</f>
        <v/>
      </c>
      <c r="F24" s="14" t="str">
        <f aca="false">IFERROR(AVERAGEIFS(Scores!H:H,Scores!B:B,"Corporate Crisis Management"),"")</f>
        <v/>
      </c>
    </row>
    <row r="25" customFormat="false" ht="15" hidden="false" customHeight="false" outlineLevel="0" collapsed="false">
      <c r="B25" s="5" t="n">
        <v>21</v>
      </c>
      <c r="C25" s="5" t="s">
        <v>266</v>
      </c>
      <c r="D25" s="5" t="n">
        <f aca="false">COUNTIFS(Scores!B:B,"Corporate Governance/AI Ethics",Scores!G:G,"&lt;&gt;")</f>
        <v>0</v>
      </c>
      <c r="E25" s="14" t="str">
        <f aca="false">IFERROR(AVERAGEIFS(Scores!G:G,Scores!B:B,"Corporate Governance/AI Ethics"),"")</f>
        <v/>
      </c>
      <c r="F25" s="14" t="str">
        <f aca="false">IFERROR(AVERAGEIFS(Scores!H:H,Scores!B:B,"Corporate Governance/AI Ethics"),"")</f>
        <v/>
      </c>
    </row>
    <row r="26" customFormat="false" ht="15" hidden="false" customHeight="false" outlineLevel="0" collapsed="false">
      <c r="B26" s="5" t="n">
        <v>22</v>
      </c>
      <c r="C26" s="5" t="s">
        <v>248</v>
      </c>
      <c r="D26" s="5" t="n">
        <f aca="false">COUNTIFS(Scores!B:B,"Corporate Tax/Global Trade",Scores!G:G,"&lt;&gt;")</f>
        <v>0</v>
      </c>
      <c r="E26" s="14" t="str">
        <f aca="false">IFERROR(AVERAGEIFS(Scores!G:G,Scores!B:B,"Corporate Tax/Global Trade"),"")</f>
        <v/>
      </c>
      <c r="F26" s="14" t="str">
        <f aca="false">IFERROR(AVERAGEIFS(Scores!H:H,Scores!B:B,"Corporate Tax/Global Trade"),"")</f>
        <v/>
      </c>
    </row>
    <row r="27" customFormat="false" ht="15" hidden="false" customHeight="false" outlineLevel="0" collapsed="false">
      <c r="B27" s="5" t="n">
        <v>23</v>
      </c>
      <c r="C27" s="5" t="s">
        <v>80</v>
      </c>
      <c r="D27" s="5" t="n">
        <f aca="false">COUNTIFS(Scores!B:B,"Correlative/Complex",Scores!G:G,"&lt;&gt;")</f>
        <v>0</v>
      </c>
      <c r="E27" s="14" t="str">
        <f aca="false">IFERROR(AVERAGEIFS(Scores!G:G,Scores!B:B,"Correlative/Complex"),"")</f>
        <v/>
      </c>
      <c r="F27" s="14" t="str">
        <f aca="false">IFERROR(AVERAGEIFS(Scores!H:H,Scores!B:B,"Correlative/Complex"),"")</f>
        <v/>
      </c>
    </row>
    <row r="28" customFormat="false" ht="15" hidden="false" customHeight="false" outlineLevel="0" collapsed="false">
      <c r="B28" s="5" t="n">
        <v>24</v>
      </c>
      <c r="C28" s="5" t="s">
        <v>59</v>
      </c>
      <c r="D28" s="5" t="n">
        <f aca="false">COUNTIFS(Scores!B:B,"Culture",Scores!G:G,"&lt;&gt;")</f>
        <v>0</v>
      </c>
      <c r="E28" s="14" t="str">
        <f aca="false">IFERROR(AVERAGEIFS(Scores!G:G,Scores!B:B,"Culture"),"")</f>
        <v/>
      </c>
      <c r="F28" s="14" t="str">
        <f aca="false">IFERROR(AVERAGEIFS(Scores!H:H,Scores!B:B,"Culture"),"")</f>
        <v/>
      </c>
    </row>
    <row r="29" customFormat="false" ht="15" hidden="false" customHeight="false" outlineLevel="0" collapsed="false">
      <c r="B29" s="5" t="n">
        <v>25</v>
      </c>
      <c r="C29" s="5" t="s">
        <v>158</v>
      </c>
      <c r="D29" s="5" t="n">
        <f aca="false">COUNTIFS(Scores!B:B,"Customer Service",Scores!G:G,"&lt;&gt;")</f>
        <v>0</v>
      </c>
      <c r="E29" s="14" t="str">
        <f aca="false">IFERROR(AVERAGEIFS(Scores!G:G,Scores!B:B,"Customer Service"),"")</f>
        <v/>
      </c>
      <c r="F29" s="14" t="str">
        <f aca="false">IFERROR(AVERAGEIFS(Scores!H:H,Scores!B:B,"Customer Service"),"")</f>
        <v/>
      </c>
    </row>
    <row r="30" customFormat="false" ht="15" hidden="false" customHeight="false" outlineLevel="0" collapsed="false">
      <c r="B30" s="5" t="n">
        <v>26</v>
      </c>
      <c r="C30" s="5" t="s">
        <v>236</v>
      </c>
      <c r="D30" s="5" t="n">
        <f aca="false">COUNTIFS(Scores!B:B,"Cybersecurity/National Defense",Scores!G:G,"&lt;&gt;")</f>
        <v>0</v>
      </c>
      <c r="E30" s="14" t="str">
        <f aca="false">IFERROR(AVERAGEIFS(Scores!G:G,Scores!B:B,"Cybersecurity/National Defense"),"")</f>
        <v/>
      </c>
      <c r="F30" s="14" t="str">
        <f aca="false">IFERROR(AVERAGEIFS(Scores!H:H,Scores!B:B,"Cybersecurity/National Defense"),"")</f>
        <v/>
      </c>
    </row>
    <row r="31" customFormat="false" ht="15" hidden="false" customHeight="false" outlineLevel="0" collapsed="false">
      <c r="B31" s="5" t="n">
        <v>27</v>
      </c>
      <c r="C31" s="5" t="s">
        <v>182</v>
      </c>
      <c r="D31" s="5" t="n">
        <f aca="false">COUNTIFS(Scores!B:B,"Distributed Systems",Scores!G:G,"&lt;&gt;")</f>
        <v>0</v>
      </c>
      <c r="E31" s="14" t="str">
        <f aca="false">IFERROR(AVERAGEIFS(Scores!G:G,Scores!B:B,"Distributed Systems"),"")</f>
        <v/>
      </c>
      <c r="F31" s="14" t="str">
        <f aca="false">IFERROR(AVERAGEIFS(Scores!H:H,Scores!B:B,"Distributed Systems"),"")</f>
        <v/>
      </c>
    </row>
    <row r="32" customFormat="false" ht="15" hidden="false" customHeight="false" outlineLevel="0" collapsed="false">
      <c r="B32" s="5" t="n">
        <v>28</v>
      </c>
      <c r="C32" s="5" t="s">
        <v>218</v>
      </c>
      <c r="D32" s="5" t="n">
        <f aca="false">COUNTIFS(Scores!B:B,"ESG Governance",Scores!G:G,"&lt;&gt;")</f>
        <v>0</v>
      </c>
      <c r="E32" s="14" t="str">
        <f aca="false">IFERROR(AVERAGEIFS(Scores!G:G,Scores!B:B,"ESG Governance"),"")</f>
        <v/>
      </c>
      <c r="F32" s="14" t="str">
        <f aca="false">IFERROR(AVERAGEIFS(Scores!H:H,Scores!B:B,"ESG Governance"),"")</f>
        <v/>
      </c>
    </row>
    <row r="33" customFormat="false" ht="15" hidden="false" customHeight="false" outlineLevel="0" collapsed="false">
      <c r="B33" s="5" t="n">
        <v>29</v>
      </c>
      <c r="C33" s="5" t="s">
        <v>194</v>
      </c>
      <c r="D33" s="5" t="n">
        <f aca="false">COUNTIFS(Scores!B:B,"Economic History",Scores!G:G,"&lt;&gt;")</f>
        <v>0</v>
      </c>
      <c r="E33" s="14" t="str">
        <f aca="false">IFERROR(AVERAGEIFS(Scores!G:G,Scores!B:B,"Economic History"),"")</f>
        <v/>
      </c>
      <c r="F33" s="14" t="str">
        <f aca="false">IFERROR(AVERAGEIFS(Scores!H:H,Scores!B:B,"Economic History"),"")</f>
        <v/>
      </c>
    </row>
    <row r="34" customFormat="false" ht="15" hidden="false" customHeight="false" outlineLevel="0" collapsed="false">
      <c r="B34" s="5" t="n">
        <v>30</v>
      </c>
      <c r="C34" s="5" t="s">
        <v>97</v>
      </c>
      <c r="D34" s="5" t="n">
        <f aca="false">COUNTIFS(Scores!B:B,"Economics",Scores!G:G,"&lt;&gt;")</f>
        <v>0</v>
      </c>
      <c r="E34" s="14" t="str">
        <f aca="false">IFERROR(AVERAGEIFS(Scores!G:G,Scores!B:B,"Economics"),"")</f>
        <v/>
      </c>
      <c r="F34" s="14" t="str">
        <f aca="false">IFERROR(AVERAGEIFS(Scores!H:H,Scores!B:B,"Economics"),"")</f>
        <v/>
      </c>
    </row>
    <row r="35" customFormat="false" ht="15" hidden="false" customHeight="false" outlineLevel="0" collapsed="false">
      <c r="B35" s="5" t="n">
        <v>31</v>
      </c>
      <c r="C35" s="5" t="s">
        <v>118</v>
      </c>
      <c r="D35" s="5" t="n">
        <f aca="false">COUNTIFS(Scores!B:B,"Education",Scores!G:G,"&lt;&gt;")</f>
        <v>0</v>
      </c>
      <c r="E35" s="14" t="str">
        <f aca="false">IFERROR(AVERAGEIFS(Scores!G:G,Scores!B:B,"Education"),"")</f>
        <v/>
      </c>
      <c r="F35" s="14" t="str">
        <f aca="false">IFERROR(AVERAGEIFS(Scores!H:H,Scores!B:B,"Education"),"")</f>
        <v/>
      </c>
    </row>
    <row r="36" customFormat="false" ht="15" hidden="false" customHeight="false" outlineLevel="0" collapsed="false">
      <c r="B36" s="5" t="n">
        <v>32</v>
      </c>
      <c r="C36" s="5" t="s">
        <v>124</v>
      </c>
      <c r="D36" s="5" t="n">
        <f aca="false">COUNTIFS(Scores!B:B,"Employment",Scores!G:G,"&lt;&gt;")</f>
        <v>0</v>
      </c>
      <c r="E36" s="14" t="str">
        <f aca="false">IFERROR(AVERAGEIFS(Scores!G:G,Scores!B:B,"Employment"),"")</f>
        <v/>
      </c>
      <c r="F36" s="14" t="str">
        <f aca="false">IFERROR(AVERAGEIFS(Scores!H:H,Scores!B:B,"Employment"),"")</f>
        <v/>
      </c>
    </row>
    <row r="37" customFormat="false" ht="15" hidden="false" customHeight="false" outlineLevel="0" collapsed="false">
      <c r="B37" s="5" t="n">
        <v>33</v>
      </c>
      <c r="C37" s="5" t="s">
        <v>121</v>
      </c>
      <c r="D37" s="5" t="n">
        <f aca="false">COUNTIFS(Scores!B:B,"Environment",Scores!G:G,"&lt;&gt;")</f>
        <v>0</v>
      </c>
      <c r="E37" s="14" t="str">
        <f aca="false">IFERROR(AVERAGEIFS(Scores!G:G,Scores!B:B,"Environment"),"")</f>
        <v/>
      </c>
      <c r="F37" s="14" t="str">
        <f aca="false">IFERROR(AVERAGEIFS(Scores!H:H,Scores!B:B,"Environment"),"")</f>
        <v/>
      </c>
    </row>
    <row r="38" customFormat="false" ht="15" hidden="false" customHeight="false" outlineLevel="0" collapsed="false">
      <c r="B38" s="5" t="n">
        <v>34</v>
      </c>
      <c r="C38" s="5" t="s">
        <v>278</v>
      </c>
      <c r="D38" s="5" t="n">
        <f aca="false">COUNTIFS(Scores!B:B,"Environmental Architecture",Scores!G:G,"&lt;&gt;")</f>
        <v>0</v>
      </c>
      <c r="E38" s="14" t="str">
        <f aca="false">IFERROR(AVERAGEIFS(Scores!G:G,Scores!B:B,"Environmental Architecture"),"")</f>
        <v/>
      </c>
      <c r="F38" s="14" t="str">
        <f aca="false">IFERROR(AVERAGEIFS(Scores!H:H,Scores!B:B,"Environmental Architecture"),"")</f>
        <v/>
      </c>
    </row>
    <row r="39" customFormat="false" ht="15" hidden="false" customHeight="false" outlineLevel="0" collapsed="false">
      <c r="B39" s="5" t="n">
        <v>35</v>
      </c>
      <c r="C39" s="5" t="s">
        <v>197</v>
      </c>
      <c r="D39" s="5" t="n">
        <f aca="false">COUNTIFS(Scores!B:B,"Environmental Law",Scores!G:G,"&lt;&gt;")</f>
        <v>0</v>
      </c>
      <c r="E39" s="14" t="str">
        <f aca="false">IFERROR(AVERAGEIFS(Scores!G:G,Scores!B:B,"Environmental Law"),"")</f>
        <v/>
      </c>
      <c r="F39" s="14" t="str">
        <f aca="false">IFERROR(AVERAGEIFS(Scores!H:H,Scores!B:B,"Environmental Law"),"")</f>
        <v/>
      </c>
    </row>
    <row r="40" customFormat="false" ht="15" hidden="false" customHeight="false" outlineLevel="0" collapsed="false">
      <c r="B40" s="5" t="n">
        <v>36</v>
      </c>
      <c r="C40" s="5" t="s">
        <v>293</v>
      </c>
      <c r="D40" s="5" t="n">
        <f aca="false">COUNTIFS(Scores!B:B,"Epidemiology/Global Policy",Scores!G:G,"&lt;&gt;")</f>
        <v>0</v>
      </c>
      <c r="E40" s="14" t="str">
        <f aca="false">IFERROR(AVERAGEIFS(Scores!G:G,Scores!B:B,"Epidemiology/Global Policy"),"")</f>
        <v/>
      </c>
      <c r="F40" s="14" t="str">
        <f aca="false">IFERROR(AVERAGEIFS(Scores!H:H,Scores!B:B,"Epidemiology/Global Policy"),"")</f>
        <v/>
      </c>
    </row>
    <row r="41" customFormat="false" ht="15" hidden="false" customHeight="false" outlineLevel="0" collapsed="false">
      <c r="B41" s="5" t="n">
        <v>37</v>
      </c>
      <c r="C41" s="5" t="s">
        <v>185</v>
      </c>
      <c r="D41" s="5" t="n">
        <f aca="false">COUNTIFS(Scores!B:B,"Ethics/Algorithmic AI",Scores!G:G,"&lt;&gt;")</f>
        <v>0</v>
      </c>
      <c r="E41" s="14" t="str">
        <f aca="false">IFERROR(AVERAGEIFS(Scores!G:G,Scores!B:B,"Ethics/Algorithmic AI"),"")</f>
        <v/>
      </c>
      <c r="F41" s="14" t="str">
        <f aca="false">IFERROR(AVERAGEIFS(Scores!H:H,Scores!B:B,"Ethics/Algorithmic AI"),"")</f>
        <v/>
      </c>
    </row>
    <row r="42" customFormat="false" ht="15" hidden="false" customHeight="false" outlineLevel="0" collapsed="false">
      <c r="B42" s="5" t="n">
        <v>38</v>
      </c>
      <c r="C42" s="5" t="s">
        <v>164</v>
      </c>
      <c r="D42" s="5" t="n">
        <f aca="false">COUNTIFS(Scores!B:B,"Event Planning",Scores!G:G,"&lt;&gt;")</f>
        <v>0</v>
      </c>
      <c r="E42" s="14" t="str">
        <f aca="false">IFERROR(AVERAGEIFS(Scores!G:G,Scores!B:B,"Event Planning"),"")</f>
        <v/>
      </c>
      <c r="F42" s="14" t="str">
        <f aca="false">IFERROR(AVERAGEIFS(Scores!H:H,Scores!B:B,"Event Planning"),"")</f>
        <v/>
      </c>
    </row>
    <row r="43" customFormat="false" ht="15" hidden="false" customHeight="false" outlineLevel="0" collapsed="false">
      <c r="B43" s="5" t="n">
        <v>39</v>
      </c>
      <c r="C43" s="5" t="s">
        <v>112</v>
      </c>
      <c r="D43" s="5" t="n">
        <f aca="false">COUNTIFS(Scores!B:B,"Finance",Scores!G:G,"&lt;&gt;")</f>
        <v>0</v>
      </c>
      <c r="E43" s="14" t="str">
        <f aca="false">IFERROR(AVERAGEIFS(Scores!G:G,Scores!B:B,"Finance"),"")</f>
        <v/>
      </c>
      <c r="F43" s="14" t="str">
        <f aca="false">IFERROR(AVERAGEIFS(Scores!H:H,Scores!B:B,"Finance"),"")</f>
        <v/>
      </c>
    </row>
    <row r="44" customFormat="false" ht="15" hidden="false" customHeight="false" outlineLevel="0" collapsed="false">
      <c r="B44" s="5" t="n">
        <v>40</v>
      </c>
      <c r="C44" s="5" t="s">
        <v>302</v>
      </c>
      <c r="D44" s="5" t="n">
        <f aca="false">COUNTIFS(Scores!B:B,"Financial Cryptography",Scores!G:G,"&lt;&gt;")</f>
        <v>0</v>
      </c>
      <c r="E44" s="14" t="str">
        <f aca="false">IFERROR(AVERAGEIFS(Scores!G:G,Scores!B:B,"Financial Cryptography"),"")</f>
        <v/>
      </c>
      <c r="F44" s="14" t="str">
        <f aca="false">IFERROR(AVERAGEIFS(Scores!H:H,Scores!B:B,"Financial Cryptography"),"")</f>
        <v/>
      </c>
    </row>
    <row r="45" customFormat="false" ht="15" hidden="false" customHeight="false" outlineLevel="0" collapsed="false">
      <c r="B45" s="5" t="n">
        <v>41</v>
      </c>
      <c r="C45" s="5" t="s">
        <v>62</v>
      </c>
      <c r="D45" s="5" t="n">
        <f aca="false">COUNTIFS(Scores!B:B,"Formal/Complex",Scores!G:G,"&lt;&gt;")</f>
        <v>0</v>
      </c>
      <c r="E45" s="14" t="str">
        <f aca="false">IFERROR(AVERAGEIFS(Scores!G:G,Scores!B:B,"Formal/Complex"),"")</f>
        <v/>
      </c>
      <c r="F45" s="14" t="str">
        <f aca="false">IFERROR(AVERAGEIFS(Scores!H:H,Scores!B:B,"Formal/Complex"),"")</f>
        <v/>
      </c>
    </row>
    <row r="46" customFormat="false" ht="15" hidden="false" customHeight="false" outlineLevel="0" collapsed="false">
      <c r="B46" s="5" t="n">
        <v>42</v>
      </c>
      <c r="C46" s="5" t="s">
        <v>269</v>
      </c>
      <c r="D46" s="5" t="n">
        <f aca="false">COUNTIFS(Scores!B:B,"Geopolitical Strategy/Energy",Scores!G:G,"&lt;&gt;")</f>
        <v>0</v>
      </c>
      <c r="E46" s="14" t="str">
        <f aca="false">IFERROR(AVERAGEIFS(Scores!G:G,Scores!B:B,"Geopolitical Strategy/Energy"),"")</f>
        <v/>
      </c>
      <c r="F46" s="14" t="str">
        <f aca="false">IFERROR(AVERAGEIFS(Scores!H:H,Scores!B:B,"Geopolitical Strategy/Energy"),"")</f>
        <v/>
      </c>
    </row>
    <row r="47" customFormat="false" ht="15" hidden="false" customHeight="false" outlineLevel="0" collapsed="false">
      <c r="B47" s="5" t="n">
        <v>43</v>
      </c>
      <c r="C47" s="5" t="s">
        <v>29</v>
      </c>
      <c r="D47" s="5" t="n">
        <f aca="false">COUNTIFS(Scores!B:B,"Greeting",Scores!G:G,"&lt;&gt;")</f>
        <v>0</v>
      </c>
      <c r="E47" s="14" t="str">
        <f aca="false">IFERROR(AVERAGEIFS(Scores!G:G,Scores!B:B,"Greeting"),"")</f>
        <v/>
      </c>
      <c r="F47" s="14" t="str">
        <f aca="false">IFERROR(AVERAGEIFS(Scores!H:H,Scores!B:B,"Greeting"),"")</f>
        <v/>
      </c>
    </row>
    <row r="48" customFormat="false" ht="15" hidden="false" customHeight="false" outlineLevel="0" collapsed="false">
      <c r="B48" s="5" t="n">
        <v>44</v>
      </c>
      <c r="C48" s="5" t="s">
        <v>173</v>
      </c>
      <c r="D48" s="5" t="n">
        <f aca="false">COUNTIFS(Scores!B:B,"Health",Scores!G:G,"&lt;&gt;")</f>
        <v>0</v>
      </c>
      <c r="E48" s="14" t="str">
        <f aca="false">IFERROR(AVERAGEIFS(Scores!G:G,Scores!B:B,"Health"),"")</f>
        <v/>
      </c>
      <c r="F48" s="14" t="str">
        <f aca="false">IFERROR(AVERAGEIFS(Scores!H:H,Scores!B:B,"Health"),"")</f>
        <v/>
      </c>
    </row>
    <row r="49" customFormat="false" ht="15" hidden="false" customHeight="false" outlineLevel="0" collapsed="false">
      <c r="B49" s="5" t="n">
        <v>45</v>
      </c>
      <c r="C49" s="5" t="s">
        <v>115</v>
      </c>
      <c r="D49" s="5" t="n">
        <f aca="false">COUNTIFS(Scores!B:B,"Healthcare",Scores!G:G,"&lt;&gt;")</f>
        <v>0</v>
      </c>
      <c r="E49" s="14" t="str">
        <f aca="false">IFERROR(AVERAGEIFS(Scores!G:G,Scores!B:B,"Healthcare"),"")</f>
        <v/>
      </c>
      <c r="F49" s="14" t="str">
        <f aca="false">IFERROR(AVERAGEIFS(Scores!H:H,Scores!B:B,"Healthcare"),"")</f>
        <v/>
      </c>
    </row>
    <row r="50" customFormat="false" ht="15" hidden="false" customHeight="false" outlineLevel="0" collapsed="false">
      <c r="B50" s="5" t="n">
        <v>46</v>
      </c>
      <c r="C50" s="5" t="s">
        <v>141</v>
      </c>
      <c r="D50" s="5" t="n">
        <f aca="false">COUNTIFS(Scores!B:B,"History",Scores!G:G,"&lt;&gt;")</f>
        <v>0</v>
      </c>
      <c r="E50" s="14" t="str">
        <f aca="false">IFERROR(AVERAGEIFS(Scores!G:G,Scores!B:B,"History"),"")</f>
        <v/>
      </c>
      <c r="F50" s="14" t="str">
        <f aca="false">IFERROR(AVERAGEIFS(Scores!H:H,Scores!B:B,"History"),"")</f>
        <v/>
      </c>
    </row>
    <row r="51" customFormat="false" ht="15" hidden="false" customHeight="false" outlineLevel="0" collapsed="false">
      <c r="B51" s="5" t="n">
        <v>47</v>
      </c>
      <c r="C51" s="5" t="s">
        <v>130</v>
      </c>
      <c r="D51" s="5" t="n">
        <f aca="false">COUNTIFS(Scores!B:B,"Infrastructure",Scores!G:G,"&lt;&gt;")</f>
        <v>0</v>
      </c>
      <c r="E51" s="14" t="str">
        <f aca="false">IFERROR(AVERAGEIFS(Scores!G:G,Scores!B:B,"Infrastructure"),"")</f>
        <v/>
      </c>
      <c r="F51" s="14" t="str">
        <f aca="false">IFERROR(AVERAGEIFS(Scores!H:H,Scores!B:B,"Infrastructure"),"")</f>
        <v/>
      </c>
    </row>
    <row r="52" customFormat="false" ht="15" hidden="false" customHeight="false" outlineLevel="0" collapsed="false">
      <c r="B52" s="5" t="n">
        <v>48</v>
      </c>
      <c r="C52" s="5" t="s">
        <v>74</v>
      </c>
      <c r="D52" s="5" t="n">
        <f aca="false">COUNTIFS(Scores!B:B,"Instruction/Complex",Scores!G:G,"&lt;&gt;")</f>
        <v>0</v>
      </c>
      <c r="E52" s="14" t="str">
        <f aca="false">IFERROR(AVERAGEIFS(Scores!G:G,Scores!B:B,"Instruction/Complex"),"")</f>
        <v/>
      </c>
      <c r="F52" s="14" t="str">
        <f aca="false">IFERROR(AVERAGEIFS(Scores!H:H,Scores!B:B,"Instruction/Complex"),"")</f>
        <v/>
      </c>
    </row>
    <row r="53" customFormat="false" ht="15" hidden="false" customHeight="false" outlineLevel="0" collapsed="false">
      <c r="B53" s="5" t="n">
        <v>49</v>
      </c>
      <c r="C53" s="5" t="s">
        <v>320</v>
      </c>
      <c r="D53" s="5" t="n">
        <f aca="false">COUNTIFS(Scores!B:B,"International Relations/Sanctions",Scores!G:G,"&lt;&gt;")</f>
        <v>0</v>
      </c>
      <c r="E53" s="14" t="str">
        <f aca="false">IFERROR(AVERAGEIFS(Scores!G:G,Scores!B:B,"International Relations/Sanctions"),"")</f>
        <v/>
      </c>
      <c r="F53" s="14" t="str">
        <f aca="false">IFERROR(AVERAGEIFS(Scores!H:H,Scores!B:B,"International Relations/Sanctions"),"")</f>
        <v/>
      </c>
    </row>
    <row r="54" customFormat="false" ht="15" hidden="false" customHeight="false" outlineLevel="0" collapsed="false">
      <c r="B54" s="5" t="n">
        <v>50</v>
      </c>
      <c r="C54" s="5" t="s">
        <v>242</v>
      </c>
      <c r="D54" s="5" t="n">
        <f aca="false">COUNTIFS(Scores!B:B,"Labor Economics/AI",Scores!G:G,"&lt;&gt;")</f>
        <v>0</v>
      </c>
      <c r="E54" s="14" t="str">
        <f aca="false">IFERROR(AVERAGEIFS(Scores!G:G,Scores!B:B,"Labor Economics/AI"),"")</f>
        <v/>
      </c>
      <c r="F54" s="14" t="str">
        <f aca="false">IFERROR(AVERAGEIFS(Scores!H:H,Scores!B:B,"Labor Economics/AI"),"")</f>
        <v/>
      </c>
    </row>
    <row r="55" customFormat="false" ht="15" hidden="false" customHeight="false" outlineLevel="0" collapsed="false">
      <c r="B55" s="5" t="n">
        <v>51</v>
      </c>
      <c r="C55" s="5" t="s">
        <v>56</v>
      </c>
      <c r="D55" s="5" t="n">
        <f aca="false">COUNTIFS(Scores!B:B,"Language",Scores!G:G,"&lt;&gt;")</f>
        <v>0</v>
      </c>
      <c r="E55" s="14" t="str">
        <f aca="false">IFERROR(AVERAGEIFS(Scores!G:G,Scores!B:B,"Language"),"")</f>
        <v/>
      </c>
      <c r="F55" s="14" t="str">
        <f aca="false">IFERROR(AVERAGEIFS(Scores!H:H,Scores!B:B,"Language"),"")</f>
        <v/>
      </c>
    </row>
    <row r="56" customFormat="false" ht="15" hidden="false" customHeight="false" outlineLevel="0" collapsed="false">
      <c r="B56" s="5" t="n">
        <v>52</v>
      </c>
      <c r="C56" s="5" t="s">
        <v>127</v>
      </c>
      <c r="D56" s="5" t="n">
        <f aca="false">COUNTIFS(Scores!B:B,"Legal",Scores!G:G,"&lt;&gt;")</f>
        <v>0</v>
      </c>
      <c r="E56" s="14" t="str">
        <f aca="false">IFERROR(AVERAGEIFS(Scores!G:G,Scores!B:B,"Legal"),"")</f>
        <v/>
      </c>
      <c r="F56" s="14" t="str">
        <f aca="false">IFERROR(AVERAGEIFS(Scores!H:H,Scores!B:B,"Legal"),"")</f>
        <v/>
      </c>
    </row>
    <row r="57" customFormat="false" ht="15" hidden="false" customHeight="false" outlineLevel="0" collapsed="false">
      <c r="B57" s="5" t="n">
        <v>53</v>
      </c>
      <c r="C57" s="5" t="s">
        <v>50</v>
      </c>
      <c r="D57" s="5" t="n">
        <f aca="false">COUNTIFS(Scores!B:B,"Location",Scores!G:G,"&lt;&gt;")</f>
        <v>0</v>
      </c>
      <c r="E57" s="14" t="str">
        <f aca="false">IFERROR(AVERAGEIFS(Scores!G:G,Scores!B:B,"Location"),"")</f>
        <v/>
      </c>
      <c r="F57" s="14" t="str">
        <f aca="false">IFERROR(AVERAGEIFS(Scores!H:H,Scores!B:B,"Location"),"")</f>
        <v/>
      </c>
    </row>
    <row r="58" customFormat="false" ht="15" hidden="false" customHeight="false" outlineLevel="0" collapsed="false">
      <c r="B58" s="5" t="n">
        <v>54</v>
      </c>
      <c r="C58" s="5" t="s">
        <v>106</v>
      </c>
      <c r="D58" s="5" t="n">
        <f aca="false">COUNTIFS(Scores!B:B,"Logistics",Scores!G:G,"&lt;&gt;")</f>
        <v>0</v>
      </c>
      <c r="E58" s="14" t="str">
        <f aca="false">IFERROR(AVERAGEIFS(Scores!G:G,Scores!B:B,"Logistics"),"")</f>
        <v/>
      </c>
      <c r="F58" s="14" t="str">
        <f aca="false">IFERROR(AVERAGEIFS(Scores!H:H,Scores!B:B,"Logistics"),"")</f>
        <v/>
      </c>
    </row>
    <row r="59" customFormat="false" ht="15" hidden="false" customHeight="false" outlineLevel="0" collapsed="false">
      <c r="B59" s="5" t="n">
        <v>55</v>
      </c>
      <c r="C59" s="5" t="s">
        <v>176</v>
      </c>
      <c r="D59" s="5" t="n">
        <f aca="false">COUNTIFS(Scores!B:B,"Macroeconomics/Tech",Scores!G:G,"&lt;&gt;")</f>
        <v>0</v>
      </c>
      <c r="E59" s="14" t="str">
        <f aca="false">IFERROR(AVERAGEIFS(Scores!G:G,Scores!B:B,"Macroeconomics/Tech"),"")</f>
        <v/>
      </c>
      <c r="F59" s="14" t="str">
        <f aca="false">IFERROR(AVERAGEIFS(Scores!H:H,Scores!B:B,"Macroeconomics/Tech"),"")</f>
        <v/>
      </c>
    </row>
    <row r="60" customFormat="false" ht="15" hidden="false" customHeight="false" outlineLevel="0" collapsed="false">
      <c r="B60" s="5" t="n">
        <v>56</v>
      </c>
      <c r="C60" s="5" t="s">
        <v>314</v>
      </c>
      <c r="D60" s="5" t="n">
        <f aca="false">COUNTIFS(Scores!B:B,"Macroprudential Regulation",Scores!G:G,"&lt;&gt;")</f>
        <v>0</v>
      </c>
      <c r="E60" s="14" t="str">
        <f aca="false">IFERROR(AVERAGEIFS(Scores!G:G,Scores!B:B,"Macroprudential Regulation"),"")</f>
        <v/>
      </c>
      <c r="F60" s="14" t="str">
        <f aca="false">IFERROR(AVERAGEIFS(Scores!H:H,Scores!B:B,"Macroprudential Regulation"),"")</f>
        <v/>
      </c>
    </row>
    <row r="61" customFormat="false" ht="15" hidden="false" customHeight="false" outlineLevel="0" collapsed="false">
      <c r="B61" s="5" t="n">
        <v>57</v>
      </c>
      <c r="C61" s="5" t="s">
        <v>94</v>
      </c>
      <c r="D61" s="5" t="n">
        <f aca="false">COUNTIFS(Scores!B:B,"Management",Scores!G:G,"&lt;&gt;")</f>
        <v>0</v>
      </c>
      <c r="E61" s="14" t="str">
        <f aca="false">IFERROR(AVERAGEIFS(Scores!G:G,Scores!B:B,"Management"),"")</f>
        <v/>
      </c>
      <c r="F61" s="14" t="str">
        <f aca="false">IFERROR(AVERAGEIFS(Scores!H:H,Scores!B:B,"Management"),"")</f>
        <v/>
      </c>
    </row>
    <row r="62" customFormat="false" ht="15" hidden="false" customHeight="false" outlineLevel="0" collapsed="false">
      <c r="B62" s="5" t="n">
        <v>58</v>
      </c>
      <c r="C62" s="5" t="s">
        <v>281</v>
      </c>
      <c r="D62" s="5" t="n">
        <f aca="false">COUNTIFS(Scores!B:B,"Maritime Law/Global Commerce",Scores!G:G,"&lt;&gt;")</f>
        <v>0</v>
      </c>
      <c r="E62" s="14" t="str">
        <f aca="false">IFERROR(AVERAGEIFS(Scores!G:G,Scores!B:B,"Maritime Law/Global Commerce"),"")</f>
        <v/>
      </c>
      <c r="F62" s="14" t="str">
        <f aca="false">IFERROR(AVERAGEIFS(Scores!H:H,Scores!B:B,"Maritime Law/Global Commerce"),"")</f>
        <v/>
      </c>
    </row>
    <row r="63" customFormat="false" ht="15" hidden="false" customHeight="false" outlineLevel="0" collapsed="false">
      <c r="B63" s="5" t="n">
        <v>59</v>
      </c>
      <c r="C63" s="5" t="s">
        <v>170</v>
      </c>
      <c r="D63" s="5" t="n">
        <f aca="false">COUNTIFS(Scores!B:B,"Marketing",Scores!G:G,"&lt;&gt;")</f>
        <v>0</v>
      </c>
      <c r="E63" s="14" t="str">
        <f aca="false">IFERROR(AVERAGEIFS(Scores!G:G,Scores!B:B,"Marketing"),"")</f>
        <v/>
      </c>
      <c r="F63" s="14" t="str">
        <f aca="false">IFERROR(AVERAGEIFS(Scores!H:H,Scores!B:B,"Marketing"),"")</f>
        <v/>
      </c>
    </row>
    <row r="64" customFormat="false" ht="15" hidden="false" customHeight="false" outlineLevel="0" collapsed="false">
      <c r="B64" s="5" t="n">
        <v>60</v>
      </c>
      <c r="C64" s="5" t="s">
        <v>311</v>
      </c>
      <c r="D64" s="5" t="n">
        <f aca="false">COUNTIFS(Scores!B:B,"Mechanical Engineering/Aerospace",Scores!G:G,"&lt;&gt;")</f>
        <v>0</v>
      </c>
      <c r="E64" s="14" t="str">
        <f aca="false">IFERROR(AVERAGEIFS(Scores!G:G,Scores!B:B,"Mechanical Engineering/Aerospace"),"")</f>
        <v/>
      </c>
      <c r="F64" s="14" t="str">
        <f aca="false">IFERROR(AVERAGEIFS(Scores!H:H,Scores!B:B,"Mechanical Engineering/Aerospace"),"")</f>
        <v/>
      </c>
    </row>
    <row r="65" customFormat="false" ht="15" hidden="false" customHeight="false" outlineLevel="0" collapsed="false">
      <c r="B65" s="5" t="n">
        <v>61</v>
      </c>
      <c r="C65" s="5" t="s">
        <v>308</v>
      </c>
      <c r="D65" s="5" t="n">
        <f aca="false">COUNTIFS(Scores!B:B,"Meta-Ethics/Philosophy",Scores!G:G,"&lt;&gt;")</f>
        <v>0</v>
      </c>
      <c r="E65" s="14" t="str">
        <f aca="false">IFERROR(AVERAGEIFS(Scores!G:G,Scores!B:B,"Meta-Ethics/Philosophy"),"")</f>
        <v/>
      </c>
      <c r="F65" s="14" t="str">
        <f aca="false">IFERROR(AVERAGEIFS(Scores!H:H,Scores!B:B,"Meta-Ethics/Philosophy"),"")</f>
        <v/>
      </c>
    </row>
    <row r="66" customFormat="false" ht="15" hidden="false" customHeight="false" outlineLevel="0" collapsed="false">
      <c r="B66" s="5" t="n">
        <v>62</v>
      </c>
      <c r="C66" s="5" t="s">
        <v>317</v>
      </c>
      <c r="D66" s="5" t="n">
        <f aca="false">COUNTIFS(Scores!B:B,"Microbiology/Evolutionary Biology",Scores!G:G,"&lt;&gt;")</f>
        <v>0</v>
      </c>
      <c r="E66" s="14" t="str">
        <f aca="false">IFERROR(AVERAGEIFS(Scores!G:G,Scores!B:B,"Microbiology/Evolutionary Biology"),"")</f>
        <v/>
      </c>
      <c r="F66" s="14" t="str">
        <f aca="false">IFERROR(AVERAGEIFS(Scores!H:H,Scores!B:B,"Microbiology/Evolutionary Biology"),"")</f>
        <v/>
      </c>
    </row>
    <row r="67" customFormat="false" ht="15" hidden="false" customHeight="false" outlineLevel="0" collapsed="false">
      <c r="B67" s="5" t="n">
        <v>63</v>
      </c>
      <c r="C67" s="5" t="s">
        <v>188</v>
      </c>
      <c r="D67" s="5" t="n">
        <f aca="false">COUNTIFS(Scores!B:B,"Monetary Policy",Scores!G:G,"&lt;&gt;")</f>
        <v>0</v>
      </c>
      <c r="E67" s="14" t="str">
        <f aca="false">IFERROR(AVERAGEIFS(Scores!G:G,Scores!B:B,"Monetary Policy"),"")</f>
        <v/>
      </c>
      <c r="F67" s="14" t="str">
        <f aca="false">IFERROR(AVERAGEIFS(Scores!H:H,Scores!B:B,"Monetary Policy"),"")</f>
        <v/>
      </c>
    </row>
    <row r="68" customFormat="false" ht="15" hidden="false" customHeight="false" outlineLevel="0" collapsed="false">
      <c r="B68" s="5" t="n">
        <v>64</v>
      </c>
      <c r="C68" s="5" t="s">
        <v>35</v>
      </c>
      <c r="D68" s="5" t="n">
        <f aca="false">COUNTIFS(Scores!B:B,"Negation",Scores!G:G,"&lt;&gt;")</f>
        <v>0</v>
      </c>
      <c r="E68" s="14" t="str">
        <f aca="false">IFERROR(AVERAGEIFS(Scores!G:G,Scores!B:B,"Negation"),"")</f>
        <v/>
      </c>
      <c r="F68" s="14" t="str">
        <f aca="false">IFERROR(AVERAGEIFS(Scores!H:H,Scores!B:B,"Negation"),"")</f>
        <v/>
      </c>
    </row>
    <row r="69" customFormat="false" ht="15" hidden="false" customHeight="false" outlineLevel="0" collapsed="false">
      <c r="B69" s="5" t="n">
        <v>65</v>
      </c>
      <c r="C69" s="5" t="s">
        <v>227</v>
      </c>
      <c r="D69" s="5" t="n">
        <f aca="false">COUNTIFS(Scores!B:B,"Network Engineering",Scores!G:G,"&lt;&gt;")</f>
        <v>0</v>
      </c>
      <c r="E69" s="14" t="str">
        <f aca="false">IFERROR(AVERAGEIFS(Scores!G:G,Scores!B:B,"Network Engineering"),"")</f>
        <v/>
      </c>
      <c r="F69" s="14" t="str">
        <f aca="false">IFERROR(AVERAGEIFS(Scores!H:H,Scores!B:B,"Network Engineering"),"")</f>
        <v/>
      </c>
    </row>
    <row r="70" customFormat="false" ht="15" hidden="false" customHeight="false" outlineLevel="0" collapsed="false">
      <c r="B70" s="5" t="n">
        <v>66</v>
      </c>
      <c r="C70" s="5" t="s">
        <v>263</v>
      </c>
      <c r="D70" s="5" t="n">
        <f aca="false">COUNTIFS(Scores!B:B,"Neuroethics/Brain-Computer Interfaces",Scores!G:G,"&lt;&gt;")</f>
        <v>0</v>
      </c>
      <c r="E70" s="14" t="str">
        <f aca="false">IFERROR(AVERAGEIFS(Scores!G:G,Scores!B:B,"Neuroethics/Brain-Computer Interfaces"),"")</f>
        <v/>
      </c>
      <c r="F70" s="14" t="str">
        <f aca="false">IFERROR(AVERAGEIFS(Scores!H:H,Scores!B:B,"Neuroethics/Brain-Computer Interfaces"),"")</f>
        <v/>
      </c>
    </row>
    <row r="71" customFormat="false" ht="15" hidden="false" customHeight="false" outlineLevel="0" collapsed="false">
      <c r="B71" s="5" t="n">
        <v>67</v>
      </c>
      <c r="C71" s="5" t="s">
        <v>77</v>
      </c>
      <c r="D71" s="5" t="n">
        <f aca="false">COUNTIFS(Scores!B:B,"Passive/Complex",Scores!G:G,"&lt;&gt;")</f>
        <v>0</v>
      </c>
      <c r="E71" s="14" t="str">
        <f aca="false">IFERROR(AVERAGEIFS(Scores!G:G,Scores!B:B,"Passive/Complex"),"")</f>
        <v/>
      </c>
      <c r="F71" s="14" t="str">
        <f aca="false">IFERROR(AVERAGEIFS(Scores!H:H,Scores!B:B,"Passive/Complex"),"")</f>
        <v/>
      </c>
    </row>
    <row r="72" customFormat="false" ht="15" hidden="false" customHeight="false" outlineLevel="0" collapsed="false">
      <c r="B72" s="5" t="n">
        <v>68</v>
      </c>
      <c r="C72" s="5" t="s">
        <v>272</v>
      </c>
      <c r="D72" s="5" t="n">
        <f aca="false">COUNTIFS(Scores!B:B,"Philosophy of Science",Scores!G:G,"&lt;&gt;")</f>
        <v>0</v>
      </c>
      <c r="E72" s="14" t="str">
        <f aca="false">IFERROR(AVERAGEIFS(Scores!G:G,Scores!B:B,"Philosophy of Science"),"")</f>
        <v/>
      </c>
      <c r="F72" s="14" t="str">
        <f aca="false">IFERROR(AVERAGEIFS(Scores!H:H,Scores!B:B,"Philosophy of Science"),"")</f>
        <v/>
      </c>
    </row>
    <row r="73" customFormat="false" ht="15" hidden="false" customHeight="false" outlineLevel="0" collapsed="false">
      <c r="B73" s="5" t="n">
        <v>69</v>
      </c>
      <c r="C73" s="5" t="s">
        <v>212</v>
      </c>
      <c r="D73" s="5" t="n">
        <f aca="false">COUNTIFS(Scores!B:B,"Philosophy of Technology",Scores!G:G,"&lt;&gt;")</f>
        <v>0</v>
      </c>
      <c r="E73" s="14" t="str">
        <f aca="false">IFERROR(AVERAGEIFS(Scores!G:G,Scores!B:B,"Philosophy of Technology"),"")</f>
        <v/>
      </c>
      <c r="F73" s="14" t="str">
        <f aca="false">IFERROR(AVERAGEIFS(Scores!H:H,Scores!B:B,"Philosophy of Technology"),"")</f>
        <v/>
      </c>
    </row>
    <row r="74" customFormat="false" ht="15" hidden="false" customHeight="false" outlineLevel="0" collapsed="false">
      <c r="B74" s="5" t="n">
        <v>70</v>
      </c>
      <c r="C74" s="5" t="s">
        <v>257</v>
      </c>
      <c r="D74" s="5" t="n">
        <f aca="false">COUNTIFS(Scores!B:B,"Political Science/Democracy",Scores!G:G,"&lt;&gt;")</f>
        <v>0</v>
      </c>
      <c r="E74" s="14" t="str">
        <f aca="false">IFERROR(AVERAGEIFS(Scores!G:G,Scores!B:B,"Political Science/Democracy"),"")</f>
        <v/>
      </c>
      <c r="F74" s="14" t="str">
        <f aca="false">IFERROR(AVERAGEIFS(Scores!H:H,Scores!B:B,"Political Science/Democracy"),"")</f>
        <v/>
      </c>
    </row>
    <row r="75" customFormat="false" ht="15" hidden="false" customHeight="false" outlineLevel="0" collapsed="false">
      <c r="B75" s="5" t="n">
        <v>71</v>
      </c>
      <c r="C75" s="5" t="s">
        <v>275</v>
      </c>
      <c r="D75" s="5" t="n">
        <f aca="false">COUNTIFS(Scores!B:B,"Public Education/Socio-Economics",Scores!G:G,"&lt;&gt;")</f>
        <v>0</v>
      </c>
      <c r="E75" s="14" t="str">
        <f aca="false">IFERROR(AVERAGEIFS(Scores!G:G,Scores!B:B,"Public Education/Socio-Economics"),"")</f>
        <v/>
      </c>
      <c r="F75" s="14" t="str">
        <f aca="false">IFERROR(AVERAGEIFS(Scores!H:H,Scores!B:B,"Public Education/Socio-Economics"),"")</f>
        <v/>
      </c>
    </row>
    <row r="76" customFormat="false" ht="15" hidden="false" customHeight="false" outlineLevel="0" collapsed="false">
      <c r="B76" s="5" t="n">
        <v>72</v>
      </c>
      <c r="C76" s="5" t="s">
        <v>221</v>
      </c>
      <c r="D76" s="5" t="n">
        <f aca="false">COUNTIFS(Scores!B:B,"Public Health/Logistics",Scores!G:G,"&lt;&gt;")</f>
        <v>0</v>
      </c>
      <c r="E76" s="14" t="str">
        <f aca="false">IFERROR(AVERAGEIFS(Scores!G:G,Scores!B:B,"Public Health/Logistics"),"")</f>
        <v/>
      </c>
      <c r="F76" s="14" t="str">
        <f aca="false">IFERROR(AVERAGEIFS(Scores!H:H,Scores!B:B,"Public Health/Logistics"),"")</f>
        <v/>
      </c>
    </row>
    <row r="77" customFormat="false" ht="15" hidden="false" customHeight="false" outlineLevel="0" collapsed="false">
      <c r="B77" s="5" t="n">
        <v>73</v>
      </c>
      <c r="C77" s="5" t="s">
        <v>230</v>
      </c>
      <c r="D77" s="5" t="n">
        <f aca="false">COUNTIFS(Scores!B:B,"Public-Private Partnerships",Scores!G:G,"&lt;&gt;")</f>
        <v>0</v>
      </c>
      <c r="E77" s="14" t="str">
        <f aca="false">IFERROR(AVERAGEIFS(Scores!G:G,Scores!B:B,"Public-Private Partnerships"),"")</f>
        <v/>
      </c>
      <c r="F77" s="14" t="str">
        <f aca="false">IFERROR(AVERAGEIFS(Scores!H:H,Scores!B:B,"Public-Private Partnerships"),"")</f>
        <v/>
      </c>
    </row>
    <row r="78" customFormat="false" ht="15" hidden="false" customHeight="false" outlineLevel="0" collapsed="false">
      <c r="B78" s="5" t="n">
        <v>74</v>
      </c>
      <c r="C78" s="5" t="s">
        <v>254</v>
      </c>
      <c r="D78" s="5" t="n">
        <f aca="false">COUNTIFS(Scores!B:B,"Quantum Computing",Scores!G:G,"&lt;&gt;")</f>
        <v>0</v>
      </c>
      <c r="E78" s="14" t="str">
        <f aca="false">IFERROR(AVERAGEIFS(Scores!G:G,Scores!B:B,"Quantum Computing"),"")</f>
        <v/>
      </c>
      <c r="F78" s="14" t="str">
        <f aca="false">IFERROR(AVERAGEIFS(Scores!H:H,Scores!B:B,"Quantum Computing"),"")</f>
        <v/>
      </c>
    </row>
    <row r="79" customFormat="false" ht="15" hidden="false" customHeight="false" outlineLevel="0" collapsed="false">
      <c r="B79" s="5" t="n">
        <v>75</v>
      </c>
      <c r="C79" s="5" t="s">
        <v>30</v>
      </c>
      <c r="D79" s="5" t="n">
        <f aca="false">COUNTIFS(Scores!B:B,"Question",Scores!G:G,"&lt;&gt;")</f>
        <v>0</v>
      </c>
      <c r="E79" s="14" t="str">
        <f aca="false">IFERROR(AVERAGEIFS(Scores!G:G,Scores!B:B,"Question"),"")</f>
        <v/>
      </c>
      <c r="F79" s="14" t="str">
        <f aca="false">IFERROR(AVERAGEIFS(Scores!H:H,Scores!B:B,"Question"),"")</f>
        <v/>
      </c>
    </row>
    <row r="80" customFormat="false" ht="15" hidden="false" customHeight="false" outlineLevel="0" collapsed="false">
      <c r="B80" s="5" t="n">
        <v>76</v>
      </c>
      <c r="C80" s="5" t="s">
        <v>103</v>
      </c>
      <c r="D80" s="5" t="n">
        <f aca="false">COUNTIFS(Scores!B:B,"Regulation",Scores!G:G,"&lt;&gt;")</f>
        <v>0</v>
      </c>
      <c r="E80" s="14" t="str">
        <f aca="false">IFERROR(AVERAGEIFS(Scores!G:G,Scores!B:B,"Regulation"),"")</f>
        <v/>
      </c>
      <c r="F80" s="14" t="str">
        <f aca="false">IFERROR(AVERAGEIFS(Scores!H:H,Scores!B:B,"Regulation"),"")</f>
        <v/>
      </c>
    </row>
    <row r="81" customFormat="false" ht="15" hidden="false" customHeight="false" outlineLevel="0" collapsed="false">
      <c r="B81" s="5" t="n">
        <v>77</v>
      </c>
      <c r="C81" s="5" t="s">
        <v>68</v>
      </c>
      <c r="D81" s="5" t="n">
        <f aca="false">COUNTIFS(Scores!B:B,"Relative Clause/Complex",Scores!G:G,"&lt;&gt;")</f>
        <v>0</v>
      </c>
      <c r="E81" s="14" t="str">
        <f aca="false">IFERROR(AVERAGEIFS(Scores!G:G,Scores!B:B,"Relative Clause/Complex"),"")</f>
        <v/>
      </c>
      <c r="F81" s="14" t="str">
        <f aca="false">IFERROR(AVERAGEIFS(Scores!H:H,Scores!B:B,"Relative Clause/Complex"),"")</f>
        <v/>
      </c>
    </row>
    <row r="82" customFormat="false" ht="15" hidden="false" customHeight="false" outlineLevel="0" collapsed="false">
      <c r="B82" s="5" t="n">
        <v>78</v>
      </c>
      <c r="C82" s="5" t="s">
        <v>85</v>
      </c>
      <c r="D82" s="5" t="n">
        <f aca="false">COUNTIFS(Scores!B:B,"Reported/Complex",Scores!G:G,"&lt;&gt;")</f>
        <v>0</v>
      </c>
      <c r="E82" s="14" t="str">
        <f aca="false">IFERROR(AVERAGEIFS(Scores!G:G,Scores!B:B,"Reported/Complex"),"")</f>
        <v/>
      </c>
      <c r="F82" s="14" t="str">
        <f aca="false">IFERROR(AVERAGEIFS(Scores!H:H,Scores!B:B,"Reported/Complex"),"")</f>
        <v/>
      </c>
    </row>
    <row r="83" customFormat="false" ht="15" hidden="false" customHeight="false" outlineLevel="0" collapsed="false">
      <c r="B83" s="5" t="n">
        <v>79</v>
      </c>
      <c r="C83" s="5" t="s">
        <v>39</v>
      </c>
      <c r="D83" s="5" t="n">
        <f aca="false">COUNTIFS(Scores!B:B,"Request",Scores!G:G,"&lt;&gt;")</f>
        <v>0</v>
      </c>
      <c r="E83" s="14" t="str">
        <f aca="false">IFERROR(AVERAGEIFS(Scores!G:G,Scores!B:B,"Request"),"")</f>
        <v/>
      </c>
      <c r="F83" s="14" t="str">
        <f aca="false">IFERROR(AVERAGEIFS(Scores!H:H,Scores!B:B,"Request"),"")</f>
        <v/>
      </c>
    </row>
    <row r="84" customFormat="false" ht="15" hidden="false" customHeight="false" outlineLevel="0" collapsed="false">
      <c r="B84" s="5" t="n">
        <v>80</v>
      </c>
      <c r="C84" s="5" t="s">
        <v>144</v>
      </c>
      <c r="D84" s="5" t="n">
        <f aca="false">COUNTIFS(Scores!B:B,"Safety",Scores!G:G,"&lt;&gt;")</f>
        <v>0</v>
      </c>
      <c r="E84" s="14" t="str">
        <f aca="false">IFERROR(AVERAGEIFS(Scores!G:G,Scores!B:B,"Safety"),"")</f>
        <v/>
      </c>
      <c r="F84" s="14" t="str">
        <f aca="false">IFERROR(AVERAGEIFS(Scores!H:H,Scores!B:B,"Safety"),"")</f>
        <v/>
      </c>
    </row>
    <row r="85" customFormat="false" ht="15" hidden="false" customHeight="false" outlineLevel="0" collapsed="false">
      <c r="B85" s="5" t="n">
        <v>81</v>
      </c>
      <c r="C85" s="5" t="s">
        <v>44</v>
      </c>
      <c r="D85" s="5" t="n">
        <f aca="false">COUNTIFS(Scores!B:B,"Shopping",Scores!G:G,"&lt;&gt;")</f>
        <v>0</v>
      </c>
      <c r="E85" s="14" t="str">
        <f aca="false">IFERROR(AVERAGEIFS(Scores!G:G,Scores!B:B,"Shopping"),"")</f>
        <v/>
      </c>
      <c r="F85" s="14" t="str">
        <f aca="false">IFERROR(AVERAGEIFS(Scores!H:H,Scores!B:B,"Shopping"),"")</f>
        <v/>
      </c>
    </row>
    <row r="86" customFormat="false" ht="15" hidden="false" customHeight="false" outlineLevel="0" collapsed="false">
      <c r="B86" s="5" t="n">
        <v>82</v>
      </c>
      <c r="C86" s="5" t="s">
        <v>133</v>
      </c>
      <c r="D86" s="5" t="n">
        <f aca="false">COUNTIFS(Scores!B:B,"Sociology",Scores!G:G,"&lt;&gt;")</f>
        <v>0</v>
      </c>
      <c r="E86" s="14" t="str">
        <f aca="false">IFERROR(AVERAGEIFS(Scores!G:G,Scores!B:B,"Sociology"),"")</f>
        <v/>
      </c>
      <c r="F86" s="14" t="str">
        <f aca="false">IFERROR(AVERAGEIFS(Scores!H:H,Scores!B:B,"Sociology"),"")</f>
        <v/>
      </c>
    </row>
    <row r="87" customFormat="false" ht="15" hidden="false" customHeight="false" outlineLevel="0" collapsed="false">
      <c r="B87" s="5" t="n">
        <v>83</v>
      </c>
      <c r="C87" s="5" t="s">
        <v>284</v>
      </c>
      <c r="D87" s="5" t="n">
        <f aca="false">COUNTIFS(Scores!B:B,"Sociology of Work",Scores!G:G,"&lt;&gt;")</f>
        <v>0</v>
      </c>
      <c r="E87" s="14" t="str">
        <f aca="false">IFERROR(AVERAGEIFS(Scores!G:G,Scores!B:B,"Sociology of Work"),"")</f>
        <v/>
      </c>
      <c r="F87" s="14" t="str">
        <f aca="false">IFERROR(AVERAGEIFS(Scores!H:H,Scores!B:B,"Sociology of Work"),"")</f>
        <v/>
      </c>
    </row>
    <row r="88" customFormat="false" ht="15" hidden="false" customHeight="false" outlineLevel="0" collapsed="false">
      <c r="B88" s="5" t="n">
        <v>84</v>
      </c>
      <c r="C88" s="5" t="s">
        <v>215</v>
      </c>
      <c r="D88" s="5" t="n">
        <f aca="false">COUNTIFS(Scores!B:B,"Sovereign Debt",Scores!G:G,"&lt;&gt;")</f>
        <v>0</v>
      </c>
      <c r="E88" s="14" t="str">
        <f aca="false">IFERROR(AVERAGEIFS(Scores!G:G,Scores!B:B,"Sovereign Debt"),"")</f>
        <v/>
      </c>
      <c r="F88" s="14" t="str">
        <f aca="false">IFERROR(AVERAGEIFS(Scores!H:H,Scores!B:B,"Sovereign Debt"),"")</f>
        <v/>
      </c>
    </row>
    <row r="89" customFormat="false" ht="15" hidden="false" customHeight="false" outlineLevel="0" collapsed="false">
      <c r="B89" s="5" t="n">
        <v>85</v>
      </c>
      <c r="C89" s="5" t="s">
        <v>203</v>
      </c>
      <c r="D89" s="5" t="n">
        <f aca="false">COUNTIFS(Scores!B:B,"Supply Chain Dynamics",Scores!G:G,"&lt;&gt;")</f>
        <v>0</v>
      </c>
      <c r="E89" s="14" t="str">
        <f aca="false">IFERROR(AVERAGEIFS(Scores!G:G,Scores!B:B,"Supply Chain Dynamics"),"")</f>
        <v/>
      </c>
      <c r="F89" s="14" t="str">
        <f aca="false">IFERROR(AVERAGEIFS(Scores!H:H,Scores!B:B,"Supply Chain Dynamics"),"")</f>
        <v/>
      </c>
    </row>
    <row r="90" customFormat="false" ht="15" hidden="false" customHeight="false" outlineLevel="0" collapsed="false">
      <c r="B90" s="5" t="n">
        <v>86</v>
      </c>
      <c r="C90" s="5" t="s">
        <v>206</v>
      </c>
      <c r="D90" s="5" t="n">
        <f aca="false">COUNTIFS(Scores!B:B,"System Architecture",Scores!G:G,"&lt;&gt;")</f>
        <v>0</v>
      </c>
      <c r="E90" s="14" t="str">
        <f aca="false">IFERROR(AVERAGEIFS(Scores!G:G,Scores!B:B,"System Architecture"),"")</f>
        <v/>
      </c>
      <c r="F90" s="14" t="str">
        <f aca="false">IFERROR(AVERAGEIFS(Scores!H:H,Scores!B:B,"System Architecture"),"")</f>
        <v/>
      </c>
    </row>
    <row r="91" customFormat="false" ht="15" hidden="false" customHeight="false" outlineLevel="0" collapsed="false">
      <c r="B91" s="5" t="n">
        <v>87</v>
      </c>
      <c r="C91" s="5" t="s">
        <v>100</v>
      </c>
      <c r="D91" s="5" t="n">
        <f aca="false">COUNTIFS(Scores!B:B,"Technical Request",Scores!G:G,"&lt;&gt;")</f>
        <v>0</v>
      </c>
      <c r="E91" s="14" t="str">
        <f aca="false">IFERROR(AVERAGEIFS(Scores!G:G,Scores!B:B,"Technical Request"),"")</f>
        <v/>
      </c>
      <c r="F91" s="14" t="str">
        <f aca="false">IFERROR(AVERAGEIFS(Scores!H:H,Scores!B:B,"Technical Request"),"")</f>
        <v/>
      </c>
    </row>
    <row r="92" customFormat="false" ht="15" hidden="false" customHeight="false" outlineLevel="0" collapsed="false">
      <c r="B92" s="5" t="n">
        <v>88</v>
      </c>
      <c r="C92" s="5" t="s">
        <v>109</v>
      </c>
      <c r="D92" s="5" t="n">
        <f aca="false">COUNTIFS(Scores!B:B,"Technical Support",Scores!G:G,"&lt;&gt;")</f>
        <v>0</v>
      </c>
      <c r="E92" s="14" t="str">
        <f aca="false">IFERROR(AVERAGEIFS(Scores!G:G,Scores!B:B,"Technical Support"),"")</f>
        <v/>
      </c>
      <c r="F92" s="14" t="str">
        <f aca="false">IFERROR(AVERAGEIFS(Scores!H:H,Scores!B:B,"Technical Support"),"")</f>
        <v/>
      </c>
    </row>
    <row r="93" customFormat="false" ht="15" hidden="false" customHeight="false" outlineLevel="0" collapsed="false">
      <c r="B93" s="5" t="n">
        <v>89</v>
      </c>
      <c r="C93" s="5" t="s">
        <v>147</v>
      </c>
      <c r="D93" s="5" t="n">
        <f aca="false">COUNTIFS(Scores!B:B,"Technology",Scores!G:G,"&lt;&gt;")</f>
        <v>0</v>
      </c>
      <c r="E93" s="14" t="str">
        <f aca="false">IFERROR(AVERAGEIFS(Scores!G:G,Scores!B:B,"Technology"),"")</f>
        <v/>
      </c>
      <c r="F93" s="14" t="str">
        <f aca="false">IFERROR(AVERAGEIFS(Scores!H:H,Scores!B:B,"Technology"),"")</f>
        <v/>
      </c>
    </row>
    <row r="94" customFormat="false" ht="15" hidden="false" customHeight="false" outlineLevel="0" collapsed="false">
      <c r="B94" s="5" t="n">
        <v>90</v>
      </c>
      <c r="C94" s="5" t="s">
        <v>53</v>
      </c>
      <c r="D94" s="5" t="n">
        <f aca="false">COUNTIFS(Scores!B:B,"Time",Scores!G:G,"&lt;&gt;")</f>
        <v>0</v>
      </c>
      <c r="E94" s="14" t="str">
        <f aca="false">IFERROR(AVERAGEIFS(Scores!G:G,Scores!B:B,"Time"),"")</f>
        <v/>
      </c>
      <c r="F94" s="14" t="str">
        <f aca="false">IFERROR(AVERAGEIFS(Scores!H:H,Scores!B:B,"Time"),"")</f>
        <v/>
      </c>
    </row>
    <row r="95" customFormat="false" ht="15" hidden="false" customHeight="false" outlineLevel="0" collapsed="false">
      <c r="B95" s="5" t="n">
        <v>91</v>
      </c>
      <c r="C95" s="5" t="s">
        <v>167</v>
      </c>
      <c r="D95" s="5" t="n">
        <f aca="false">COUNTIFS(Scores!B:B,"Tourism",Scores!G:G,"&lt;&gt;")</f>
        <v>0</v>
      </c>
      <c r="E95" s="14" t="str">
        <f aca="false">IFERROR(AVERAGEIFS(Scores!G:G,Scores!B:B,"Tourism"),"")</f>
        <v/>
      </c>
      <c r="F95" s="14" t="str">
        <f aca="false">IFERROR(AVERAGEIFS(Scores!H:H,Scores!B:B,"Tourism"),"")</f>
        <v/>
      </c>
    </row>
    <row r="96" customFormat="false" ht="15" hidden="false" customHeight="false" outlineLevel="0" collapsed="false">
      <c r="B96" s="5" t="n">
        <v>92</v>
      </c>
      <c r="C96" s="5" t="s">
        <v>179</v>
      </c>
      <c r="D96" s="5" t="n">
        <f aca="false">COUNTIFS(Scores!B:B,"Urban Planning/Ecology",Scores!G:G,"&lt;&gt;")</f>
        <v>0</v>
      </c>
      <c r="E96" s="14" t="str">
        <f aca="false">IFERROR(AVERAGEIFS(Scores!G:G,Scores!B:B,"Urban Planning/Ecology"),"")</f>
        <v/>
      </c>
      <c r="F96" s="14" t="str">
        <f aca="false">IFERROR(AVERAGEIFS(Scores!H:H,Scores!B:B,"Urban Planning/Ecology"),"")</f>
        <v/>
      </c>
    </row>
    <row r="97" customFormat="false" ht="15" hidden="false" customHeight="false" outlineLevel="0" collapsed="false">
      <c r="B97" s="5" t="n">
        <v>93</v>
      </c>
      <c r="C97" s="5" t="s">
        <v>305</v>
      </c>
      <c r="D97" s="5" t="n">
        <f aca="false">COUNTIFS(Scores!B:B,"Urban Sociology/Gentrification",Scores!G:G,"&lt;&gt;")</f>
        <v>0</v>
      </c>
      <c r="E97" s="14" t="str">
        <f aca="false">IFERROR(AVERAGEIFS(Scores!G:G,Scores!B:B,"Urban Sociology/Gentrification"),"")</f>
        <v/>
      </c>
      <c r="F97" s="14" t="str">
        <f aca="false">IFERROR(AVERAGEIFS(Scores!H:H,Scores!B:B,"Urban Sociology/Gentrification"),"")</f>
        <v/>
      </c>
    </row>
    <row r="98" customFormat="false" ht="15" hidden="false" customHeight="false" outlineLevel="0" collapsed="false">
      <c r="B98" s="5" t="n">
        <v>94</v>
      </c>
      <c r="C98" s="5" t="s">
        <v>224</v>
      </c>
      <c r="D98" s="5" t="n">
        <f aca="false">COUNTIFS(Scores!B:B,"Urban Transit Policy",Scores!G:G,"&lt;&gt;")</f>
        <v>0</v>
      </c>
      <c r="E98" s="14" t="str">
        <f aca="false">IFERROR(AVERAGEIFS(Scores!G:G,Scores!B:B,"Urban Transit Policy"),"")</f>
        <v/>
      </c>
      <c r="F98" s="14" t="str">
        <f aca="false">IFERROR(AVERAGEIFS(Scores!H:H,Scores!B:B,"Urban Transit Policy"),"")</f>
        <v/>
      </c>
    </row>
    <row r="99" customFormat="false" ht="15" hidden="false" customHeight="false" outlineLevel="0" collapsed="false">
      <c r="B99" s="5" t="n">
        <v>95</v>
      </c>
      <c r="C99" s="5" t="s">
        <v>287</v>
      </c>
      <c r="D99" s="5" t="n">
        <f aca="false">COUNTIFS(Scores!B:B,"Water Resource Management",Scores!G:G,"&lt;&gt;")</f>
        <v>0</v>
      </c>
      <c r="E99" s="14" t="str">
        <f aca="false">IFERROR(AVERAGEIFS(Scores!G:G,Scores!B:B,"Water Resource Management"),"")</f>
        <v/>
      </c>
      <c r="F99" s="14" t="str">
        <f aca="false">IFERROR(AVERAGEIFS(Scores!H:H,Scores!B:B,"Water Resource Management"),"")</f>
        <v/>
      </c>
    </row>
    <row r="100" customFormat="false" ht="15" hidden="false" customHeight="false" outlineLevel="0" collapsed="false">
      <c r="B100" s="5" t="n">
        <v>96</v>
      </c>
      <c r="C100" s="5" t="s">
        <v>47</v>
      </c>
      <c r="D100" s="5" t="n">
        <f aca="false">COUNTIFS(Scores!B:B,"Weather",Scores!G:G,"&lt;&gt;")</f>
        <v>0</v>
      </c>
      <c r="E100" s="14" t="str">
        <f aca="false">IFERROR(AVERAGEIFS(Scores!G:G,Scores!B:B,"Weather"),"")</f>
        <v/>
      </c>
      <c r="F100" s="14" t="str">
        <f aca="false">IFERROR(AVERAGEIFS(Scores!H:H,Scores!B:B,"Weather"),"")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2026-08-04T07:01:33Z</dcterms:created>
  <dc:creator>openpyxl</dc:creator>
  <dc:description/>
  <dc:language>en-US</dc:language>
  <cp:lastModifiedBy/>
  <dcterms:modified xsi:type="dcterms:W3CDTF">2026-08-04T07:01:33Z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